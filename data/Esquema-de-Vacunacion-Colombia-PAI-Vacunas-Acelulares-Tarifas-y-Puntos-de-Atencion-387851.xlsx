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quema PAI Estado" sheetId="1" r:id="rId5"/>
    <sheet state="visible" name="Vacunas Acelulares y Privadas" sheetId="2" r:id="rId6"/>
    <sheet state="visible" name="Tarifas y Costos" sheetId="3" r:id="rId7"/>
    <sheet state="visible" name="Puntos Atencion Ciudades" sheetId="4" r:id="rId8"/>
    <sheet state="visible" name="Guia y Recomendaciones" sheetId="5" r:id="rId9"/>
    <sheet state="visible" name="Vacunacion en EPS" sheetId="6" r:id="rId10"/>
    <sheet state="visible" name="Rastreador Vacunal" sheetId="7" r:id="rId11"/>
    <sheet state="visible" name="Simulador presupuesto" sheetId="8" r:id="rId12"/>
    <sheet state="visible" name="Cuidados y Urgencias" sheetId="9" r:id="rId13"/>
    <sheet state="visible" name="Seguridad Vacunacion" sheetId="10" r:id="rId14"/>
    <sheet state="visible" name="Comparativa_Marcas" sheetId="11" r:id="rId15"/>
  </sheets>
  <definedNames/>
  <calcPr/>
</workbook>
</file>

<file path=xl/sharedStrings.xml><?xml version="1.0" encoding="utf-8"?>
<sst xmlns="http://schemas.openxmlformats.org/spreadsheetml/2006/main" count="862" uniqueCount="647">
  <si>
    <t>Vacuna Complementaria</t>
  </si>
  <si>
    <t>Edad</t>
  </si>
  <si>
    <t>Ciudad</t>
  </si>
  <si>
    <t>Vacuna</t>
  </si>
  <si>
    <t>Dosis en Esquema</t>
  </si>
  <si>
    <t>Nombres Comerciales</t>
  </si>
  <si>
    <t>EPS / Entidad</t>
  </si>
  <si>
    <t>Cajas Cat. A (&lt;2 SMMLV)</t>
  </si>
  <si>
    <t>Composición</t>
  </si>
  <si>
    <t>Red de IPS / Prestador</t>
  </si>
  <si>
    <t>Vía</t>
  </si>
  <si>
    <t>Cajas Cat. B (2-4 SMMLV)</t>
  </si>
  <si>
    <t>Sedes y Puntos Clave en la Ciudad</t>
  </si>
  <si>
    <t>Ventaja Clínica vs. Celular</t>
  </si>
  <si>
    <t>Cajas Cat. C / No Afiliado</t>
  </si>
  <si>
    <t>Enfermedad que previene / Beneficio</t>
  </si>
  <si>
    <t>Tipo de Cobertura</t>
  </si>
  <si>
    <t>Esquema Recomendado</t>
  </si>
  <si>
    <t>Cruz Roja / Clínicas Privadas</t>
  </si>
  <si>
    <t>Requisitos de Acceso</t>
  </si>
  <si>
    <t>Cobertura Estado</t>
  </si>
  <si>
    <t>Cobertura en Colombia</t>
  </si>
  <si>
    <t>Fuente URL</t>
  </si>
  <si>
    <t>Costo Total Estimado Esquema (Part.)</t>
  </si>
  <si>
    <t>Bogotá</t>
  </si>
  <si>
    <t>Recién Nacido</t>
  </si>
  <si>
    <t>Hexavalente Acelular</t>
  </si>
  <si>
    <t>Capital Salud EPS (Régimen Subsidiado/Contributivo)</t>
  </si>
  <si>
    <t>Subredes Integradas de Salud del Distrito (Norte, Sur, Centro Oriente, Sur Occidente)</t>
  </si>
  <si>
    <t>Más de 120 CAPS y hospitales: CAPS Suba, Engativá, Fontibón, El Tunal, Meissen, Materno Infantil, La Victoria, Kennedy, Bosa</t>
  </si>
  <si>
    <t>PAI Gratuito Universal + Acelular por indicación médica/MIPRES</t>
  </si>
  <si>
    <t>Hexaxim, Infanrix Hexa</t>
  </si>
  <si>
    <t>Presentar documento y carné. Atención sin cita o programada</t>
  </si>
  <si>
    <t>3 dosis (2, 4, 6 m)</t>
  </si>
  <si>
    <t>BCG</t>
  </si>
  <si>
    <t>DTPa + Polio VIP + Hib + Hepatitis B</t>
  </si>
  <si>
    <t>https://www.capitalsalud.gov.co/</t>
  </si>
  <si>
    <t>$190.000 - $205.000</t>
  </si>
  <si>
    <t>Reduce &gt;80% fiebre alta, dolor local y llanto prolongado. 1 solo pinchazo en lugar de 2</t>
  </si>
  <si>
    <t>Intradérmica</t>
  </si>
  <si>
    <t>$210.000 - $225.000</t>
  </si>
  <si>
    <t>2, 4, 6 meses y refuerzo 18 meses</t>
  </si>
  <si>
    <t>EPS Sanitas</t>
  </si>
  <si>
    <t>Formas graves de tuberculosis (meningitis tuberculosa y diseminada)</t>
  </si>
  <si>
    <t>$230.000 - $265.000</t>
  </si>
  <si>
    <t>Centros Médicos Sanitas (Keralty)</t>
  </si>
  <si>
    <t>Particular (GRATIS en PAI solo para prematuros &lt;1.500g o con reacciones adversas previas)</t>
  </si>
  <si>
    <t>Gratuita Universal</t>
  </si>
  <si>
    <t>Puente Aranda, Toberín, Tequendama, Suba, Restrepo, Galerías, Chicó, Calle 116, Kennedy, Santa Librada</t>
  </si>
  <si>
    <t>$240.000 - $285.000</t>
  </si>
  <si>
    <t>PAI Gratuito + Hexavalente Acelular en sede (Particular) + Domicilio</t>
  </si>
  <si>
    <t>$720.000 - $855.000</t>
  </si>
  <si>
    <t>Carné de vacunación, usuario Sanitas o particular en caja</t>
  </si>
  <si>
    <t>https://www.epssanitas.com/</t>
  </si>
  <si>
    <t>EPS SURA</t>
  </si>
  <si>
    <t>Centros de Atención Integral / Salud SURA</t>
  </si>
  <si>
    <t>Chapinero (Cl 67), Calle 100, Autopista Norte (Cl 127), Centro Mayor, Soacha</t>
  </si>
  <si>
    <t>PAI Gratuito + Acelular en sede + Domicilio</t>
  </si>
  <si>
    <t>Cita previa o demanda espontánea</t>
  </si>
  <si>
    <t>https://www.epssura.com/vacunacion</t>
  </si>
  <si>
    <t>Famisanar EPS</t>
  </si>
  <si>
    <t>Red de IPS Colsubsidio y Cafam</t>
  </si>
  <si>
    <t>Colsubsidio: Cl 26, Cl 63, Roma, Cedritos, Quiroga, Restrepo, Santa Librada. Cafam: Floresta, Cl 51, San José, Suba, Kennedy</t>
  </si>
  <si>
    <t>PAI Gratuito + Acelular con tarifa de afiliado a caja</t>
  </si>
  <si>
    <t>Carné PAI, estar adscrito a Famisanar o afiliado a la caja</t>
  </si>
  <si>
    <t>https://www.famisanar.com.co/afiliados/pbs/vacunacion</t>
  </si>
  <si>
    <t>Compensar EPS</t>
  </si>
  <si>
    <t>Sedes de Salud Compensar</t>
  </si>
  <si>
    <t>Calle 26, Calle 42, Av. 68 (Sede Cur), Suba, Kennedy, Autopista Sur, Centro Mayor, Cra 1ª, Fontibón, Cajicá</t>
  </si>
  <si>
    <t>Pentavalente Acelular</t>
  </si>
  <si>
    <t>Turno presencial de vacunación en sede Compensar</t>
  </si>
  <si>
    <t>https://corporativo.compensar.com/salud/servicios-adicionales/vacunacion/disponibilidad</t>
  </si>
  <si>
    <t>3 dosis</t>
  </si>
  <si>
    <t>$150.000 - $165.000</t>
  </si>
  <si>
    <t>$165.000 - $175.000</t>
  </si>
  <si>
    <t>Hepatitis B (Monovalente Pediátrica)</t>
  </si>
  <si>
    <t>Salud Total EPS</t>
  </si>
  <si>
    <t>$180.000 - $195.000</t>
  </si>
  <si>
    <t>IPS Virrey Solís</t>
  </si>
  <si>
    <t>Intramuscular</t>
  </si>
  <si>
    <t>$190.000 - $210.000</t>
  </si>
  <si>
    <t>Teusaquillo, Olaya, Américas, Suba, Fontibón, Calle 134, Kennedy</t>
  </si>
  <si>
    <t>Infección por Hepatitis B y transmisión perinatal madre a hijo</t>
  </si>
  <si>
    <t>$540.000 - $630.000</t>
  </si>
  <si>
    <t>PAI Gratuito + Acelulares en sedes habilitadas</t>
  </si>
  <si>
    <t>Documento de identidad y carné en módulo de vacunación</t>
  </si>
  <si>
    <t>https://saludtotal.com.co/</t>
  </si>
  <si>
    <t>Nueva EPS</t>
  </si>
  <si>
    <t>IPS Viva 1A y Bienestar IPS</t>
  </si>
  <si>
    <t>DPT Acelular (Refuerzos)</t>
  </si>
  <si>
    <t>Viva 1A: Chapinero, Cl 100, Américas, Kennedy, Restrepo. Bienestar: Suba, Bosa</t>
  </si>
  <si>
    <t>2 dosis (18m, 5a)</t>
  </si>
  <si>
    <t>PAI Gratuito + Acelular si cumple criterio médico o particular</t>
  </si>
  <si>
    <t>$85.000 - $98.000</t>
  </si>
  <si>
    <t>Asistir a la IPS primaria asignada con el carné</t>
  </si>
  <si>
    <t>$100.000 - $112.000</t>
  </si>
  <si>
    <t>https://www.nuevaeps.com.co/</t>
  </si>
  <si>
    <t>$110.000 - $125.000</t>
  </si>
  <si>
    <t>$115.000 - $140.000</t>
  </si>
  <si>
    <t>Cruz Roja Colombiana</t>
  </si>
  <si>
    <t>Pentaxim</t>
  </si>
  <si>
    <t>$230.000 - $280.000</t>
  </si>
  <si>
    <t>Red de Seccional Cundinamarca y Bogotá</t>
  </si>
  <si>
    <t>DTPa + Polio VIP + Hib</t>
  </si>
  <si>
    <t>Sede Principal Av. Cra 68 # 66-31, Cl 145, Alquería, Unicentro, Plaza de las Américas, Andino</t>
  </si>
  <si>
    <t>2 Meses</t>
  </si>
  <si>
    <t>Particular completo + Domicilio integral en toda la ciudad</t>
  </si>
  <si>
    <t>No contiene células enteras de Bordetella pertussis; muy baja reactogenicidad</t>
  </si>
  <si>
    <t>Pentavalente Celular (1ª dosis)</t>
  </si>
  <si>
    <t>Sin afiliación previa, venta y aplicación directa</t>
  </si>
  <si>
    <t>2, 4, 6 meses (cuando hepatitis B se aplica aparte)</t>
  </si>
  <si>
    <t>https://cruzrojacolombiana.org/</t>
  </si>
  <si>
    <t>Particular</t>
  </si>
  <si>
    <t>Red Hospitalaria Privada / Prepagada</t>
  </si>
  <si>
    <t>Difteria, Tétanos, Tos ferina (celular), Hepatitis B, Haemophilus influenzae b (Hib)</t>
  </si>
  <si>
    <t>Fundación Santa Fe, Clínica del Country, CDI</t>
  </si>
  <si>
    <t>Chicó, Pepe Sierra, Usaquén, Reina Sofía</t>
  </si>
  <si>
    <t>Particular + Reembolso con medicina prepagada</t>
  </si>
  <si>
    <t>Citas de vacunación y droguerías intrahospitalarias</t>
  </si>
  <si>
    <t>https://www.colsanitas.com/vacunacion</t>
  </si>
  <si>
    <t>Medellín</t>
  </si>
  <si>
    <t>Savia Salud EPS</t>
  </si>
  <si>
    <t>Meningococo Tetravalente ACWY</t>
  </si>
  <si>
    <t>Red Oficial Metrosalud</t>
  </si>
  <si>
    <t>2 dosis (lactantes)</t>
  </si>
  <si>
    <t>$180.000 - $200.000</t>
  </si>
  <si>
    <t>Todos los Centros de Salud y Hospitales de Medellín: Belén, Castilla, San Javier, Doce de Octubre, Manrique, Santa Cruz, San Antonio de Prado, San Cristóbal</t>
  </si>
  <si>
    <t>$205.000 - $225.000</t>
  </si>
  <si>
    <t>$230.000 - $260.000</t>
  </si>
  <si>
    <t>PAI Gratuito Universal + Acelular para prematuros/EAPV</t>
  </si>
  <si>
    <t>$240.000 - $290.000</t>
  </si>
  <si>
    <t>Polio VIP / IPV (1ª dosis)</t>
  </si>
  <si>
    <t>$480.000 - $580.000</t>
  </si>
  <si>
    <t>Atención por demanda espontánea en centros Metrosalud</t>
  </si>
  <si>
    <t>https://metrosalud.gov.co/</t>
  </si>
  <si>
    <t>Poliomielitis (parálisis flácida infantil)</t>
  </si>
  <si>
    <t>Centros de Atención Integral / CIS Comfama</t>
  </si>
  <si>
    <t>Salud SURA Industriales, Poblado, Sao Paulo, Mayorca, Molinos. CIS Comfama: San Ignacio, Aranjuez, Bello, Envigado, Rionegro</t>
  </si>
  <si>
    <t>PAI Gratuito + Hexavalente Acelular en sede + Domicilio</t>
  </si>
  <si>
    <t>Cita o turno presencial para afiliados y particulares</t>
  </si>
  <si>
    <t>Boostrix, Adacel</t>
  </si>
  <si>
    <t>Meningococo B (Bexsero)</t>
  </si>
  <si>
    <t>DTPa / dTpa (toxoides diftérico, tetánico y antígenos purificados de pertussis)</t>
  </si>
  <si>
    <t>2 a 3 dosis</t>
  </si>
  <si>
    <t>$560.000 - $610.000</t>
  </si>
  <si>
    <t>Rotavirus (1ª dosis)</t>
  </si>
  <si>
    <t>Evita la reacción dolorosa e inflamatoria severa que causa la DPT celular a los 18 meses y 5 años</t>
  </si>
  <si>
    <t>$610.000 - $650.000</t>
  </si>
  <si>
    <t>Oral</t>
  </si>
  <si>
    <t>Centros Médicos Sanitas</t>
  </si>
  <si>
    <t>Refuerzos a los 18 meses, 5 años y adultos en contacto con bebés</t>
  </si>
  <si>
    <t>$660.000 - $710.000</t>
  </si>
  <si>
    <t>Diarrea grave y gastroenteritis por rotavirus</t>
  </si>
  <si>
    <t>El Poblado, Punto Clave (Industriales), Belén, Bello</t>
  </si>
  <si>
    <t>$680.000 - $750.000</t>
  </si>
  <si>
    <t>$1.360.000 - $2.250.000</t>
  </si>
  <si>
    <t>PAI Gratuito + Acelulares en sede</t>
  </si>
  <si>
    <t>Carné PAI y documento del menor</t>
  </si>
  <si>
    <t>Rotavirus Pentavalente</t>
  </si>
  <si>
    <t>$205.000 - $220.000</t>
  </si>
  <si>
    <t>IPS Viva 1A Medellín</t>
  </si>
  <si>
    <t>$230.000 - $250.000</t>
  </si>
  <si>
    <t>Sede Alpujarra (Centro), Industriales, Belén, Bello, Itagüí, Envigado</t>
  </si>
  <si>
    <t>$235.000 - $265.000</t>
  </si>
  <si>
    <t>Neumococo Conjugada PCV13 (1ª dosis)</t>
  </si>
  <si>
    <t>PAI Gratuito + Acelular por indicación médica o particular</t>
  </si>
  <si>
    <t>$690.000 - $795.000</t>
  </si>
  <si>
    <t>Dirigirse a la sala de vacunación de la IPS Viva 1A asignada</t>
  </si>
  <si>
    <t>Neumonía, meningitis, bacteriemia y otitis por 13 serotipos de neumococo</t>
  </si>
  <si>
    <t>Hepatitis A (2ª dosis)</t>
  </si>
  <si>
    <t>1 dosis</t>
  </si>
  <si>
    <t>IPS Virrey Solís Medellín</t>
  </si>
  <si>
    <t>$105.000 - $120.000</t>
  </si>
  <si>
    <t>El Poblado, Centro y Laureles</t>
  </si>
  <si>
    <t>$120.000 - $135.000</t>
  </si>
  <si>
    <t>PAI Gratuito + Venta de complementarias</t>
  </si>
  <si>
    <t>Módulo de vacunación de la IPS</t>
  </si>
  <si>
    <t>$140.000 - $155.000</t>
  </si>
  <si>
    <t>$145.000 - $175.000</t>
  </si>
  <si>
    <t>4 Meses</t>
  </si>
  <si>
    <t>$140.000 - $175.000</t>
  </si>
  <si>
    <t>MenQuadfi, Menactra, Nimenrix</t>
  </si>
  <si>
    <t>Pentavalente Celular (2ª dosis)</t>
  </si>
  <si>
    <t>Conjugada serogrupos A, C, W135, Y</t>
  </si>
  <si>
    <t>Previene meningitis bacteriana fulminante y sepsis meningocócica</t>
  </si>
  <si>
    <t>Segunda dosis difteria, tétanos, tos ferina, hepatitis B, Hib</t>
  </si>
  <si>
    <t>Desde los 2 o 9 meses según fabricante</t>
  </si>
  <si>
    <t>Particular no PAI</t>
  </si>
  <si>
    <t>Cruz Roja Colombiana Seccional Antioquia</t>
  </si>
  <si>
    <t>Sede Guayabal y Centros Comerciales</t>
  </si>
  <si>
    <t>Sede Guayabal (Cra 52 # 25-210) y centros comerciales del Valle de Aburrá</t>
  </si>
  <si>
    <t>Particular completo + Domicilio</t>
  </si>
  <si>
    <t>Tienda virtual y agendamiento directo</t>
  </si>
  <si>
    <t>Meningococo B</t>
  </si>
  <si>
    <t>https://tiendacruzrojaantioquia.com/linea/vacunacion/</t>
  </si>
  <si>
    <t>Bexsero</t>
  </si>
  <si>
    <t>Polio VIP / IPV (2ª dosis)</t>
  </si>
  <si>
    <t>Cali</t>
  </si>
  <si>
    <t>Proteínas recombinantes serogrupo B</t>
  </si>
  <si>
    <t>Emssanar EPS</t>
  </si>
  <si>
    <t>Previene meningitis y sepsis por serogrupo B (responsable de brotes severos)</t>
  </si>
  <si>
    <t>Red de las 5 ESE Distritales de Cali</t>
  </si>
  <si>
    <t>Segunda dosis contra poliomielitis</t>
  </si>
  <si>
    <t>ESE Norte, ESE Centro, ESE Oriente (Marroquín Cauquita, Decepaz), ESE Suroriente, ESE Ladera (Siloé), Sede Holguines</t>
  </si>
  <si>
    <t>2 dosis + refuerzo a partir de los 2 meses</t>
  </si>
  <si>
    <t>PAI Gratuito Universal + Acelular en red hospitalaria</t>
  </si>
  <si>
    <t>Presentar carné en centros de salud de las ESE</t>
  </si>
  <si>
    <t>https://emssanareps.co/</t>
  </si>
  <si>
    <t>Centros de Atención Integral Salud SURA</t>
  </si>
  <si>
    <t>Pasoancho (Cl 13), Chipichape (Norte), Cosmocentro (Sur), Sede Palmira</t>
  </si>
  <si>
    <t>PAI Gratuito + Acelulares en sede + Domicilio</t>
  </si>
  <si>
    <t>Cita previa por app o presencial</t>
  </si>
  <si>
    <t>Rotateq</t>
  </si>
  <si>
    <t>Rotavirus (2ª dosis)</t>
  </si>
  <si>
    <t>Varicela (Refuerzo Particular)</t>
  </si>
  <si>
    <t>Virus vivos atenuados (5 serotipos: G1, G2, G3, G4, P1A)</t>
  </si>
  <si>
    <t>Mayor espectro de cobertura antigénica</t>
  </si>
  <si>
    <t>$135.000 - $150.000</t>
  </si>
  <si>
    <t>Tequendama, Versalles, Santa Mónica, Ciudad Jardín</t>
  </si>
  <si>
    <t>Segunda dosis contra rotavirus</t>
  </si>
  <si>
    <t>$150.000 - $168.000</t>
  </si>
  <si>
    <t>3 dosis (2, 4 y 6 meses)</t>
  </si>
  <si>
    <t>PAI Gratuito + Acelular en sede</t>
  </si>
  <si>
    <t>$170.000 - $190.000</t>
  </si>
  <si>
    <t>Módulo de vacunación para afiliados y particulares</t>
  </si>
  <si>
    <t>$175.000 - $210.000</t>
  </si>
  <si>
    <t>$170.000 - $210.000</t>
  </si>
  <si>
    <t>Havrix, Epaxal</t>
  </si>
  <si>
    <t>Neumococo Conjugada PCV13 (2ª dosis)</t>
  </si>
  <si>
    <t>Virus inactivado de Hepatitis A</t>
  </si>
  <si>
    <t>Comfandi Salud (EPS aliadas y Caja)</t>
  </si>
  <si>
    <t>Garantiza inmunidad duradera de por vida (el PAI solo cubre 1 dosis)</t>
  </si>
  <si>
    <t>Segunda dosis contra neumococo</t>
  </si>
  <si>
    <t>Centros de Salud Comfandi</t>
  </si>
  <si>
    <t>6 meses después de la dosis PAI de los 12 meses</t>
  </si>
  <si>
    <t>San Nicolás, Torres de Comfandi, Tequendama, San Fernando, La Flora, Yumbo, Palmira</t>
  </si>
  <si>
    <t>PAI Gratuito + Acelular con subsidio Ley 21 (Cat A y B)</t>
  </si>
  <si>
    <t>VPH Nonavalente</t>
  </si>
  <si>
    <t>Carné de vacunación y afiliación Comfandi</t>
  </si>
  <si>
    <t>https://www.comfandi.com.co/personas/salud/vacunacion</t>
  </si>
  <si>
    <t>$550.000 - $620.000</t>
  </si>
  <si>
    <t>$660.000 - $700.000</t>
  </si>
  <si>
    <t>$1.320.000 - $2.100.000</t>
  </si>
  <si>
    <t>6 Meses</t>
  </si>
  <si>
    <t>IPS Viva 1A Cali</t>
  </si>
  <si>
    <t>Sede Norte (Av 4 Norte), Sede Sur (Roosevelt / Pasoancho), San Fernando</t>
  </si>
  <si>
    <t>Pentavalente Celular (3ª dosis)</t>
  </si>
  <si>
    <t>PAI Gratuito + Acelulares según disponibilidad de sede</t>
  </si>
  <si>
    <t>Presentar documento en la IPS asignada</t>
  </si>
  <si>
    <t>Servicio de Vacunación a Domicilio</t>
  </si>
  <si>
    <t>Tercera dosis que completa esquema primario</t>
  </si>
  <si>
    <t>Por visita</t>
  </si>
  <si>
    <t>$25.000 - $35.000</t>
  </si>
  <si>
    <t>Cruz Roja Colombiana Seccional Valle</t>
  </si>
  <si>
    <t>$30.000 - $40.000</t>
  </si>
  <si>
    <t>Sede San Fernando y Alférez Real</t>
  </si>
  <si>
    <t>$35.000 - $45.000</t>
  </si>
  <si>
    <t>Cra 38 Bis # 5-91 (San Fernando), Pasoancho</t>
  </si>
  <si>
    <t>$40.000 - $65.000</t>
  </si>
  <si>
    <t>Variable según visitas</t>
  </si>
  <si>
    <t>Centro Internacional de Vacunación</t>
  </si>
  <si>
    <t>https://cruzrojavalle.org.co/</t>
  </si>
  <si>
    <t>Red Privada de Alta Complejidad</t>
  </si>
  <si>
    <t>Gardasil 9</t>
  </si>
  <si>
    <t>Clínica Imbanaco y Fundación Valle del Lili</t>
  </si>
  <si>
    <t>9 genotipos de VPH (6, 11, 16, 18, 31, 33, 45, 52, 58)</t>
  </si>
  <si>
    <t>Torre Consultorios Imbanaco (Torre A y B), Sede Pance Valle del Lili</t>
  </si>
  <si>
    <t>Particular + Convenios de medicina prepagada</t>
  </si>
  <si>
    <t>Protege contra 5 cepas oncogénicas adicionales frente a la tetravalente PAI</t>
  </si>
  <si>
    <t>Atención pediátrica especializada y droguería de vacunas</t>
  </si>
  <si>
    <t>A partir de los 9 años</t>
  </si>
  <si>
    <t>https://www.imbanaco.com/</t>
  </si>
  <si>
    <t>Polio VIP / IPV (3ª dosis)</t>
  </si>
  <si>
    <t>Barranquilla</t>
  </si>
  <si>
    <t>Mutual Ser EPS y Coosalud</t>
  </si>
  <si>
    <t>Red MiRed IPS (Caminos y Pasos Distritales)</t>
  </si>
  <si>
    <t>Tercera dosis inyectable contra poliomielitis</t>
  </si>
  <si>
    <t>Camino Adelita de Char, Camino Murillo, Camino Bosque, Paso La Playa, Paso Rebolo, Paso Simón Bolívar</t>
  </si>
  <si>
    <t>PAI Gratuito Universal + Acelulares por criterio médico PAI</t>
  </si>
  <si>
    <t>Red pública distrital sin barreras</t>
  </si>
  <si>
    <t>https://miredbarranquilla.com/</t>
  </si>
  <si>
    <t>Villa Country (Calle 76), Murillo, Boston</t>
  </si>
  <si>
    <t>Sala de vacunación de la sede Sanitas</t>
  </si>
  <si>
    <t>Influenza Estacional (1ª dosis)</t>
  </si>
  <si>
    <t>Cepas estacionales de influenza y complicaciones respiratorias</t>
  </si>
  <si>
    <t>Sede Prado (Calle 70), Buenavista (Norte), Calle 30</t>
  </si>
  <si>
    <t>Afiliados SURA y particulares</t>
  </si>
  <si>
    <t>IPS Viva 1A Barranquilla</t>
  </si>
  <si>
    <t>7 Meses</t>
  </si>
  <si>
    <t>Carrera 43, Calle 30, Sede Murillo, Cordialidad, Sede Boston</t>
  </si>
  <si>
    <t>PAI Gratuito + Acelular con autorización o venta</t>
  </si>
  <si>
    <t>Influenza Estacional (2ª dosis)</t>
  </si>
  <si>
    <t>Turno en sala de vacunación de Viva 1A</t>
  </si>
  <si>
    <t>Combarranquilla y Cajacopi</t>
  </si>
  <si>
    <t>Puntos de Salud de las Cajas</t>
  </si>
  <si>
    <t>Unidad Boston, Unidad Calle 30, Unidad Country, sedes Cajacopi Soledad</t>
  </si>
  <si>
    <t>PAI Gratuito + Acelular con tarifas de afiliado</t>
  </si>
  <si>
    <t>Afiliación a caja de compensación</t>
  </si>
  <si>
    <t>https://www.combarranquilla.co/</t>
  </si>
  <si>
    <t>Cruz Roja Seccional Atlántico</t>
  </si>
  <si>
    <t>Sede Boston y Centros Comerciales</t>
  </si>
  <si>
    <t>Sede Boston (Cra 44 # 64-47), Mallplaza, Buenavista</t>
  </si>
  <si>
    <t>Venta y aplicación sin cita previa</t>
  </si>
  <si>
    <t>https://cruzrojaatlantico.org/salud/vacunacion/</t>
  </si>
  <si>
    <t>Clínicas Privadas</t>
  </si>
  <si>
    <t>Clínica Portoazul Auna, Clínica Iberoamérica</t>
  </si>
  <si>
    <t>Corredor Universitario, Calle 85</t>
  </si>
  <si>
    <t>Particular + Medicina prepagada</t>
  </si>
  <si>
    <t>Consultorios de vacunación pediátrica</t>
  </si>
  <si>
    <t>https://portoazul.auna.org/</t>
  </si>
  <si>
    <t>Bucaramanga</t>
  </si>
  <si>
    <t>ISABU / Red Pública (Coosalud, Asmet Salud, Nueva EPS)</t>
  </si>
  <si>
    <t>Refuerzo a las 4 semanas de la 1ª dosis</t>
  </si>
  <si>
    <t>Red de Centros de Salud Públicos de Bucaramanga</t>
  </si>
  <si>
    <t>Centros de Salud: La Joya, Mutis, Morrorrico, San Rafael, Girardot, Toledo Plata, Hospital del Norte</t>
  </si>
  <si>
    <t>PAI Gratuito Universal + Acelulares PAI para prematuros</t>
  </si>
  <si>
    <t>Atención gratuita para todos los regímenes</t>
  </si>
  <si>
    <t>https://vacunacion.minsalud.gov.co/</t>
  </si>
  <si>
    <t>Sede Cabecera del Llano (Cra 35) y Sede Floridablanca</t>
  </si>
  <si>
    <t>12 Meses (1 año)</t>
  </si>
  <si>
    <t>Centro de Atención Integral Salud SURA</t>
  </si>
  <si>
    <t>Sede Sotomayor (Cl 48 con Cra 27) y Sede Cañaveral (Floridablanca)</t>
  </si>
  <si>
    <t>Triple Viral SRP (1ª dosis)</t>
  </si>
  <si>
    <t>Subcutánea</t>
  </si>
  <si>
    <t>Agendamiento presencial o virtual</t>
  </si>
  <si>
    <t>Sarampión, Rubéola y Paperas (Parotiditis)</t>
  </si>
  <si>
    <t>Viva 1A Carrera 27, Sede Cabecera, Floridablanca</t>
  </si>
  <si>
    <t>Módulo de vacunación en la IPS asignada</t>
  </si>
  <si>
    <t>Varicela (1ª dosis)</t>
  </si>
  <si>
    <t>Varicela y complicaciones cutáneas y respiratorias</t>
  </si>
  <si>
    <t>IPS Virrey Solís Bucaramanga</t>
  </si>
  <si>
    <t>Sede Antonia Santos y Sede Conucos</t>
  </si>
  <si>
    <t>PAI Gratuito + Vacunación particular</t>
  </si>
  <si>
    <t>Sala de vacunación de Virrey Solís</t>
  </si>
  <si>
    <t>Neumococo Conjugada PCV13 (Refuerzo)</t>
  </si>
  <si>
    <t>Cajasan y Comfenalco Santander</t>
  </si>
  <si>
    <t>IPS Ciudadela Real de Minas, IPS Puerta del Sol, Centro Médico Conucos</t>
  </si>
  <si>
    <t>Refuerzo para prolongar inmunidad contra neumococo</t>
  </si>
  <si>
    <t>PAI Gratuito + Acelular con tarifas subsidiadas</t>
  </si>
  <si>
    <t>Afiliados a Cajasan o Comfenalco Santander</t>
  </si>
  <si>
    <t>https://cajasan.com/</t>
  </si>
  <si>
    <t>Cruz Roja Seccional Santander</t>
  </si>
  <si>
    <t>Sede Bucaramanga y Floridablanca</t>
  </si>
  <si>
    <t>Hepatitis A (Dosis única PAI)</t>
  </si>
  <si>
    <t>Calle 45 # 27A-16 (Bucaramanga), Floridablanca, Barrancabermeja</t>
  </si>
  <si>
    <t>Compra en línea y aplicación directa</t>
  </si>
  <si>
    <t>https://cruzrojasantander.org/vacunas</t>
  </si>
  <si>
    <t>Red Hospitalaria Privada</t>
  </si>
  <si>
    <t>Fundación FOSCAL y FOSCAL Internacional</t>
  </si>
  <si>
    <t>Autopista Floridablanca, Campus FOSCAL</t>
  </si>
  <si>
    <t>Hepatitis viral A e insuficiencia hepática</t>
  </si>
  <si>
    <t>Particular + Red de prepagadas</t>
  </si>
  <si>
    <t>Centro de vacunación de alta complejidad</t>
  </si>
  <si>
    <t>https://www.foscal.com.co/</t>
  </si>
  <si>
    <t>18 Meses (1.5 años)</t>
  </si>
  <si>
    <t>DPT Celular (1º refuerzo)</t>
  </si>
  <si>
    <t>Refuerzo difteria, tétanos y tos ferina</t>
  </si>
  <si>
    <t>Polio VIP (1º refuerzo)</t>
  </si>
  <si>
    <t>Primer refuerzo contra polio</t>
  </si>
  <si>
    <t>Fiebre Amarilla (Dosis única)</t>
  </si>
  <si>
    <t>Fiebre amarilla (protección de por vida)</t>
  </si>
  <si>
    <t>5 Años</t>
  </si>
  <si>
    <t>DPT Celular (2º refuerzo)</t>
  </si>
  <si>
    <t>Segundo refuerzo escolar difteria, tétanos y tos ferina</t>
  </si>
  <si>
    <t>Polio VIP (2º refuerzo)</t>
  </si>
  <si>
    <t>Segundo refuerzo escolar contra polio</t>
  </si>
  <si>
    <t>Triple Viral SRP (2º refuerzo)</t>
  </si>
  <si>
    <t>Segundo refuerzo sarampión, rubéola, paperas</t>
  </si>
  <si>
    <t>Varicela (2º refuerzo)</t>
  </si>
  <si>
    <t>Refuerzo escolar contra varicela</t>
  </si>
  <si>
    <t>9 a 17 Años</t>
  </si>
  <si>
    <t>VPH (Virus Papiloma Humano)</t>
  </si>
  <si>
    <t>Cáncer de cuello uterino, vulva, ano, pene y verrugas genitales (Dosis única para niñas y niños)</t>
  </si>
  <si>
    <t>Gestantes (Semana 26+)</t>
  </si>
  <si>
    <t>Tdap Acelular Gestante</t>
  </si>
  <si>
    <t>Protección prenatal contra tos ferina, tétanos neonatal y difteria</t>
  </si>
  <si>
    <t>Tema Clave</t>
  </si>
  <si>
    <t>Principio Clínico / Práctico</t>
  </si>
  <si>
    <t>Recomendación Concreta para la Familia</t>
  </si>
  <si>
    <t>Marco Legal o Evidencia</t>
  </si>
  <si>
    <t>Estrategia Capullo (Cocooning)</t>
  </si>
  <si>
    <t>Bebés menores de 6 meses no tienen inmunidad completa y se contagian de adultos cercanos</t>
  </si>
  <si>
    <t>Mamá recibe Tdap GRATIS en semana 26+. Papá, abuelos y cuidadora deben aplicarse dTpa acelular 2 semanas antes del parto</t>
  </si>
  <si>
    <t>Reduce mortalidad por tos ferina neonatal</t>
  </si>
  <si>
    <t>Intercambiabilidad de Esquemas</t>
  </si>
  <si>
    <t>Vacunas celulares y acelulares son totalmente compatibles</t>
  </si>
  <si>
    <t>Si inició con Hexavalente particular y luego requiere Pentavalente PAI (o viceversa), no se reinicia el esquema</t>
  </si>
  <si>
    <t>Respaldado por OMS y Sociedad Colombiana de Pediatría</t>
  </si>
  <si>
    <t>Error del Acetaminofén Preventivo</t>
  </si>
  <si>
    <t>Dar acetaminofén antes de la vacuna disminuye la respuesta de anticuerpos</t>
  </si>
  <si>
    <t>Solo suministrar gotas después de la vacuna si hay fiebre &gt;38°C o dolor evidente</t>
  </si>
  <si>
    <t>Evidencia clínica de farmacovigilancia</t>
  </si>
  <si>
    <t>Límite Estricto de Rotavirus</t>
  </si>
  <si>
    <t>La vacuna oral de rotavirus no se puede aplicar a cualquier edad por riesgo de invaginación</t>
  </si>
  <si>
    <t>1ª dosis máx a las 14 semanas y 6 días (aprox. 3.5 meses); última dosis máx a los 8 meses</t>
  </si>
  <si>
    <t>Ventana epidemiológica y de seguridad biológica</t>
  </si>
  <si>
    <t>Vacunación Sin Barreras</t>
  </si>
  <si>
    <t>El PAI es gratuito y de acceso universal obligatorio</t>
  </si>
  <si>
    <t>Ninguna IPS puede negar vacunas por EPS, por no tener cita previa o por nacionalidad/estatus migratorio</t>
  </si>
  <si>
    <t>Decreto PAI Ministerio de Salud de Colombia</t>
  </si>
  <si>
    <t>Reembolsos en Pólizas de Salud</t>
  </si>
  <si>
    <t>Varias pólizas de salud y prepagadas cubren vacunas particulares si hay fórmula médica</t>
  </si>
  <si>
    <t>Solicitar orden al pediatra y factura electrónica en la IPS vacunadora para tramitar reembolso</t>
  </si>
  <si>
    <t>Políticas de pólizas SURA, Colmédica, Bolívar, Allianz</t>
  </si>
  <si>
    <t>Registro Digital PAIWEB</t>
  </si>
  <si>
    <t>Cada vacuna se sube obligatoriamente al sistema digital nacional</t>
  </si>
  <si>
    <t>Si pierde el carné físico, cualquier IPS puede consultar PAIWEB y certificar las dosis sin repetir</t>
  </si>
  <si>
    <t>Sistema PAIWEB Ministerio de Salud</t>
  </si>
  <si>
    <t>Evolución Normal de la BCG</t>
  </si>
  <si>
    <t>Aparece ampolla/pústula entre la 2ª y 6ª semana que drena y deja cicatriz</t>
  </si>
  <si>
    <t>NO drenar, no aplicar alcohol, ni yodo, ni cremas antibióticas; solo lavar con agua y jabón</t>
  </si>
  <si>
    <t>Proceso biológico esperado de inmunización</t>
  </si>
  <si>
    <t>Falsas Contraindicaciones</t>
  </si>
  <si>
    <t>Resfriados leves, moquitos o estar tomando antibióticos no impiden vacunar</t>
  </si>
  <si>
    <t>No postergar la cita a menos que haya fiebre alta &gt;38.5°C o enfermedad grave aguda</t>
  </si>
  <si>
    <t>Evita retrasos en el calendario vacunal</t>
  </si>
  <si>
    <t>EPS</t>
  </si>
  <si>
    <t>Red de IPS Primarias donde Aplica</t>
  </si>
  <si>
    <t>Disponibilidad de Acelular en Sede</t>
  </si>
  <si>
    <t>Cómo Funciona la Aplicación en la EPS</t>
  </si>
  <si>
    <t>Requisitos / Modalidad</t>
  </si>
  <si>
    <t>Centros Médicos Sanitas (Keralty) a nivel nacional</t>
  </si>
  <si>
    <t>Sí (Módulo PAI y Particular en la misma sala)</t>
  </si>
  <si>
    <t>Los padres pueden solicitar aplicar la Hexavalente acelular directamente en el punto de vacunación de su Centro Médico Sanitas. Si cumple criterio médico es gratis; si es por preferencia de los padres, se paga la tarifa particular en caja.</t>
  </si>
  <si>
    <t>Carné de vacunación, documento del menor, orden médica si es por MIPRES o pago en caja</t>
  </si>
  <si>
    <t>https://www.epssanitas.com/usuarios/web/nuevo-portal-eps/inicio</t>
  </si>
  <si>
    <t>Centros de Atención Integral / Salud SURA (Medellín, Bogotá, Cali, etc.)</t>
  </si>
  <si>
    <t>Sí (Módulo de Inmunización y Vacunación)</t>
  </si>
  <si>
    <t>Dispone de consultorios de vacunación que aplican el PAI gratuito y vacunas particulares. Los afiliados a EPS SURA y póliza pueden solicitar la Hexavalente acelular en la misma cita.</t>
  </si>
  <si>
    <t>Cita programada o demanda espontánea en centros Salud SURA</t>
  </si>
  <si>
    <t>Centros Médicos y Clínicas Colsubsidio y Cafam</t>
  </si>
  <si>
    <t>Sí (A través de las salas de vacunación de Colsubsidio y Cafam)</t>
  </si>
  <si>
    <t>Rastreador Vacunal</t>
  </si>
  <si>
    <t>Famisanar atiende a sus afiliados en la red primaria de Colsubsidio y Cafam. En estas sedes se ofrece la pentavalente celular PAI o la compra de la hexavalente acelular con la tarifa de afiliado a la caja.</t>
  </si>
  <si>
    <t>Puntos de atención primaria de Cafam y Colsubsidio</t>
  </si>
  <si>
    <t>Sedes de Salud Compensar (Calle 26, Calle 42, Suba, Kennedy, etc.)</t>
  </si>
  <si>
    <t>Sí (Puntos unificados de Inmunización Compensar)</t>
  </si>
  <si>
    <t>En las sedes de atención primaria de Compensar EPS, el servicio de vacunación cuenta con las vacunas del PAI gratuitas y las vacunas complementarias acelulares en el mismo mostrador de atención.</t>
  </si>
  <si>
    <t>Turno presencial de vacunación en sede de Compensar</t>
  </si>
  <si>
    <t>Fecha de Nacimiento del Bebé:</t>
  </si>
  <si>
    <t>https://corporativo.compensar.com/salud/servicios-adicionales/vacunacion/vacunacion-familia</t>
  </si>
  <si>
    <t>IPS Virrey Solís a nivel nacional</t>
  </si>
  <si>
    <t>Sí (en sedes principales con servicio de vacunación particular)</t>
  </si>
  <si>
    <t>En las salas de vacunación de Virrey Solís se aplica el esquema gratuito PAI y, en sedes principales habilitadas, se comercializan y administran vacunas acelulares complementarias.</t>
  </si>
  <si>
    <t>Presentar carné PAI y documento en módulo de vacunación</t>
  </si>
  <si>
    <t>IPS Exclusivas (Viva 1A, Bienestar IPS, sedes regionales)</t>
  </si>
  <si>
    <t>Parcial / Consultar sede (PAI universal garantizado)</t>
  </si>
  <si>
    <t>En todas sus IPS aliadas garantizan el PAI gratuito. La disponibilidad de la acelular particular depende de si la IPS aliada (ej. Viva 1A) tiene servicio de vacunación particular activo. Gratuita con autorización si cumple criterio.</t>
  </si>
  <si>
    <t>Autorización médica si es subsidiado/gratuito o pago directo en IPS aliada</t>
  </si>
  <si>
    <t>Capital Salud EPS</t>
  </si>
  <si>
    <t>Se garantiza el PAI gratuito. La vacuna acelular se aplica si hay indicación médica mediante MIPRES.</t>
  </si>
  <si>
    <t>Hito / Edad</t>
  </si>
  <si>
    <t>Vacunas a Aplicar</t>
  </si>
  <si>
    <t>Fecha Sugerida</t>
  </si>
  <si>
    <t>Estado / Aplicada</t>
  </si>
  <si>
    <t>Fecha Real de Aplicación</t>
  </si>
  <si>
    <t>Biológico / Marca Utilizada</t>
  </si>
  <si>
    <t>Lote</t>
  </si>
  <si>
    <t>IPS / Punto de Vacunación</t>
  </si>
  <si>
    <t>Registrado en PAIWEB</t>
  </si>
  <si>
    <t>Notas y Reacciones</t>
  </si>
  <si>
    <t>Simulador Presupuesto Particular</t>
  </si>
  <si>
    <t>BCG + Hepatitis B (Monovalente)</t>
  </si>
  <si>
    <t>Visita / Control</t>
  </si>
  <si>
    <t>Vacunas Incluidas en la Cita</t>
  </si>
  <si>
    <t>Red Oficial Metrosalud (Centros de Salud y Hospitales)</t>
  </si>
  <si>
    <t>Atención por demanda espontánea en centros Metrosalud para aplicar el PAI y acelulares por criterio médico.</t>
  </si>
  <si>
    <t>Cita 2 Meses</t>
  </si>
  <si>
    <t>Hexavalente Acelular + Rotavirus Pentavalente + Meningococo B (1ª dosis)</t>
  </si>
  <si>
    <t>BCG + Hep B PAI</t>
  </si>
  <si>
    <t>Cita 4 Meses</t>
  </si>
  <si>
    <t>Clínica de Parto</t>
  </si>
  <si>
    <t>Red de ESE Distritales (Norte, Centro, Oriente, Suroriente, Ladera)</t>
  </si>
  <si>
    <t>Hexavalente Acelular + Rotavirus Pentavalente + Meningococo B (2ª dosis)</t>
  </si>
  <si>
    <t>Se ofrece el esquema PAI gratuito universal en la red hospitalaria pública.</t>
  </si>
  <si>
    <t>Cita 6 Meses</t>
  </si>
  <si>
    <t>Hexavalente Acelular (o Pentavalente PAI + Polio VIP) + Rotavirus + Neumococo 13</t>
  </si>
  <si>
    <t>Hexavalente Acelular + Rotavirus Pentavalente (Influenza es GRATIS en PAI)</t>
  </si>
  <si>
    <t>Cita 7 Meses</t>
  </si>
  <si>
    <t>Influenza 2ª dosis (GRATIS en PAI en cualquier IPS)</t>
  </si>
  <si>
    <t>Cita 12 Meses (1 año)</t>
  </si>
  <si>
    <t>Meningococo ACWY 1ª dosis (SRP, Varicela, Neumococo, Hep A son GRATIS en PAI)</t>
  </si>
  <si>
    <t>Red pública distrital sin barreras para aplicar el PAI y acelulares si cumple el criterio médico.</t>
  </si>
  <si>
    <t>Cuidados y Urgencias</t>
  </si>
  <si>
    <t>Cita 18 Meses (1.5 años)</t>
  </si>
  <si>
    <t>DPT Acelular + Hepatitis A 2ª dosis particular (Polio y Fiebre Amarilla son GRATIS en PAI)</t>
  </si>
  <si>
    <t>Tabla 1: Reacciones Normales y Cuidados en Casa (24-48 horas)</t>
  </si>
  <si>
    <t>Reacción Frecuente</t>
  </si>
  <si>
    <t>Hexaxim / Rotateq / PCV13</t>
  </si>
  <si>
    <t>Cita 5 Años</t>
  </si>
  <si>
    <t>Por qué ocurre</t>
  </si>
  <si>
    <t>DPT Acelular 2º Refuerzo (Polio, SRP y Varicela son GRATIS en PAI)</t>
  </si>
  <si>
    <t>Cuidados y Qué HACER</t>
  </si>
  <si>
    <t>Qué NUNCA hacer</t>
  </si>
  <si>
    <t>Manejo Farmacológico</t>
  </si>
  <si>
    <t>Dolor, enrojecimiento e hinchazón en el muslo</t>
  </si>
  <si>
    <t>Respuesta inflamatoria natural del músculo</t>
  </si>
  <si>
    <t>Aplicar paños con agua fresca limpia sobre la zona, sin masajear. Ropa holgada.</t>
  </si>
  <si>
    <t>NUNCA aplicar alcohol, cremas calientes, ungüentos ni masajear el bulto</t>
  </si>
  <si>
    <t>No requiere fármacos tópicos</t>
  </si>
  <si>
    <t>Fiebre leve o febrícula (&lt;38.3 °C)</t>
  </si>
  <si>
    <t>Ruta de Acceso</t>
  </si>
  <si>
    <t>Liberación de citoquinas en respuesta a los antígenos</t>
  </si>
  <si>
    <t>Costo para el Usuario</t>
  </si>
  <si>
    <t>Mantener al bebé con ropa ligera, hidratación frecuente con leche materna</t>
  </si>
  <si>
    <t>¿Quién Aplica? (Criterios de Elegibilidad)</t>
  </si>
  <si>
    <t>Total Primer Año (Meses 2 a 12)</t>
  </si>
  <si>
    <t>Trámite Requerido en la EPS</t>
  </si>
  <si>
    <t>NUNCA bañar con agua helada ni usar alcohol en la piel</t>
  </si>
  <si>
    <t>Beneficio Clave</t>
  </si>
  <si>
    <t>Acetaminofén solo si hay malestar evidente</t>
  </si>
  <si>
    <t>Ruta Gratuita 1: Bebés Prematuros (PAI Especial)</t>
  </si>
  <si>
    <t>Irritabilidad, somnolencia o llanto leve</t>
  </si>
  <si>
    <t>$0 (100% Gratuito cubierto por EPS)</t>
  </si>
  <si>
    <t>Malestar general transitorio</t>
  </si>
  <si>
    <t>Recién nacidos con peso al nacer menor a 1.500 g o edad gestacional menor a 32 semanas nacidos a partir de 2025.</t>
  </si>
  <si>
    <t>Acompañamiento, contacto piel con piel, lactancia materna a libre demanda</t>
  </si>
  <si>
    <t>Presentar epicrisis/resumen de egreso neonatal que certifique peso &lt;1.500g en el punto de vacunación de la EPS/IPS. No requiere cobro ni bono.</t>
  </si>
  <si>
    <t>La EPS aplica la Hexavalente acelular sin ningún costo durante el primer año.</t>
  </si>
  <si>
    <t>NUNCA forzar la alimentación sólida ni dejar llorar solo</t>
  </si>
  <si>
    <t>Contención y tranquilidad</t>
  </si>
  <si>
    <t>Ruta Gratuita 2: Antecedente de Evento Adverso (EAPV)</t>
  </si>
  <si>
    <t>Dolor moderado o fiebre &gt;38.5 °C</t>
  </si>
  <si>
    <t>Bebés que tuvieron reacciones graves a la 1ª dosis de Pentavalente celular (convulsión febril, llanto inconsolable &gt;3 horas, hipotonía/colapso).</t>
  </si>
  <si>
    <t>Pico reactogénico (más común con celular)</t>
  </si>
  <si>
    <t>Reporte del evento adverso por el médico tratante en Vigiflow y prescripción médica de pediatra solicitando cambio a acelular para dosis siguientes.</t>
  </si>
  <si>
    <t>Protección contra reacciones repetidas graves garantizada por el Estado y la EPS.</t>
  </si>
  <si>
    <t>Administrar acetaminofén pediátrico en gotas según el peso exacto indicado por el pediatra</t>
  </si>
  <si>
    <t>NUNCA administrar aspirina ni ibuprofeno en menores de 6 meses sin orden</t>
  </si>
  <si>
    <t>Ruta Gratuita 3: Patología Médica Especial vía MIPRES</t>
  </si>
  <si>
    <t>$0 (Cubierto por la EPS sin copago)</t>
  </si>
  <si>
    <t>Acetaminofén oral dosificado por peso</t>
  </si>
  <si>
    <t>Pacientes con patologías neurológicas progresivas, encefalopatías no evolutivas o contraindicación médica del componente celular de pertussis.</t>
  </si>
  <si>
    <t>Hexavalente Acelular (o Pentavalente PAI + Polio VIP) + Influenza 1ª dosis</t>
  </si>
  <si>
    <t>El médico pediatra o neuropediatra de la EPS genera la fórmula médica y la justificación técnica en la plataforma MIPRES. La EPS emite autorización.</t>
  </si>
  <si>
    <t>Tabla 2: Banderas Rojas - Cuándo ir de Inmediato a Urgencias</t>
  </si>
  <si>
    <t>Acceso sin costo a vacunas no PAI cuando existe necesidad clínica demostrada.</t>
  </si>
  <si>
    <t>https://www.minsalud.gov.co/</t>
  </si>
  <si>
    <t>Signo de Alarma Crítico</t>
  </si>
  <si>
    <t>Ruta Particular en la IPS de la EPS</t>
  </si>
  <si>
    <t>Posible Causa Médica</t>
  </si>
  <si>
    <t>Pago de bolsillo (Tarifa particular o de caja de compensación)</t>
  </si>
  <si>
    <t>Momento de Aparición</t>
  </si>
  <si>
    <t>Cualquier bebé nacido a término sano cuyos padres prefieran la vacuna acelular para evitar dolor y fiebre.</t>
  </si>
  <si>
    <t>Acción Inmediata Requerida</t>
  </si>
  <si>
    <t>No requiere autorización previa. Al llegar al punto de vacunación de la IPS de la EPS, se solicita la Hexavalente acelular y se cancela en la caja de la sede.</t>
  </si>
  <si>
    <t>Se aplica en la misma IPS primaria habitual del bebé, sin tener que desplazarse a clínicas externas.</t>
  </si>
  <si>
    <t>Dificultad respiratoria, hundimiento de costillas, estridor o aleteo nasal</t>
  </si>
  <si>
    <t>https://corporativo.compensar.com/salud/Paginas/vacunacion/tarifas-vacunas-complementarias.aspx</t>
  </si>
  <si>
    <t>Reacción anafiláctica severa / broncoespasmo</t>
  </si>
  <si>
    <t>Primeros 15 a 60 minutos</t>
  </si>
  <si>
    <t>Acudir de inmediato al servicio de urgencias más cercano</t>
  </si>
  <si>
    <t>Hinchazón marcada de labios, lengua, párpados o cara con urticaria</t>
  </si>
  <si>
    <t>Reacción de hipersensibilidad alérgica aguda</t>
  </si>
  <si>
    <t>Primeras 2 horas</t>
  </si>
  <si>
    <t>Urgencias médicas de inmediato</t>
  </si>
  <si>
    <t>Llanto continuo, agudo e inconsolable durante más de 3 horas</t>
  </si>
  <si>
    <t>Reacción neurológica o hipersensibilidad extrema</t>
  </si>
  <si>
    <t>Primeras 24 horas</t>
  </si>
  <si>
    <t>Valoración en urgencias pediátricas</t>
  </si>
  <si>
    <t>Hexaxim / Influenza PAI</t>
  </si>
  <si>
    <t>Episodio hipotónico: bebé flácido, sin fuerza, pálido o con labios morados</t>
  </si>
  <si>
    <t>Síndrome de Hipotonía-Hiporrespuesta (EAPV)</t>
  </si>
  <si>
    <t>Primeras 6 a 24 horas</t>
  </si>
  <si>
    <t>Urgencias pediátricas y reporte oficial a farmacovigilancia</t>
  </si>
  <si>
    <t>Movimientos espasmódicos rítmicos, rigidez o pérdida de contacto visual</t>
  </si>
  <si>
    <t>Convulsión febril</t>
  </si>
  <si>
    <t>Influenza Estacional (2ª dosis de refuerzo)</t>
  </si>
  <si>
    <t>Durante alza térmica rápida</t>
  </si>
  <si>
    <t>Colocar de lado, despejar vías aéreas y acudir a urgencias</t>
  </si>
  <si>
    <t>Fiebre superior a 39 °C que no responde al antipirético tras 2 horas</t>
  </si>
  <si>
    <t>Fiebre refractaria o infección intercurrente</t>
  </si>
  <si>
    <t>Primeras 24 a 48 horas</t>
  </si>
  <si>
    <t>Valoración médica prioritaria en urgencias</t>
  </si>
  <si>
    <t>Influenza PAI</t>
  </si>
  <si>
    <t>Total Segundo Año y Refuerzos (Mes 18 y 5 años)</t>
  </si>
  <si>
    <t>Triple Viral (SRP) + Varicela + Neumococo Refuerzo + Hepatitis A 1ª dosis</t>
  </si>
  <si>
    <t>PAI + Opcional Meningococo ACWY</t>
  </si>
  <si>
    <t>Gran Total Esquema Particular Completo</t>
  </si>
  <si>
    <t>DPT Acelular (o DPT PAI) + Polio VIP + Fiebre Amarilla + Hepatitis A 2ª dosis</t>
  </si>
  <si>
    <t>Boostrix / Havrix / Fiebre Amarilla</t>
  </si>
  <si>
    <t>DPT Acelular (o DPT PAI) + Polio VIP + Triple Viral (SRP 2ª) + Varicela 2ª</t>
  </si>
  <si>
    <t>Boostrix / SRP / Varicela</t>
  </si>
  <si>
    <t>Seguridad en Vacunación</t>
  </si>
  <si>
    <t>Paso de Seguridad</t>
  </si>
  <si>
    <t>Qué debe verificar el padre o madre</t>
  </si>
  <si>
    <t>Pregunta sugerida para hacerle al vacunador</t>
  </si>
  <si>
    <t>Criterio de Seguridad Correcto</t>
  </si>
  <si>
    <t>1. Verificación del Frasco</t>
  </si>
  <si>
    <t>Nombre del biológico, fabricante y fecha de vencimiento</t>
  </si>
  <si>
    <t>¿Me permite ver el vial para corroborar el nombre y la fecha de caducidad?</t>
  </si>
  <si>
    <t>El frasco debe ser mostrado directamente, con etiqueta legible e intacta y fecha vigente</t>
  </si>
  <si>
    <t>2. Monitoreo de Cadena de Frío</t>
  </si>
  <si>
    <t>Termómetro visible de la nevera o termo de transporte</t>
  </si>
  <si>
    <t>¿A qué temperatura se encuentra conservada la vacuna en este momento?</t>
  </si>
  <si>
    <t>El termómetro debe marcar estrictamente entre +2 °C y +8 °C</t>
  </si>
  <si>
    <t>3. Zona Anatómica Correcta</t>
  </si>
  <si>
    <t>Músculo de inyección adecuado para la edad</t>
  </si>
  <si>
    <t>¿En qué parte del cuerpo la va a administrar?</t>
  </si>
  <si>
    <t>En menores de 1 año debe ser SIEMPRE en la cara anterolateral del muslo (vasto externo), NUNCA en el glúteo</t>
  </si>
  <si>
    <t>4. Material Estéril Desechable</t>
  </si>
  <si>
    <t>Jeringa y aguja nuevas abiertas en presencia de los padres</t>
  </si>
  <si>
    <t>Verificación visual directa del empaque estéril</t>
  </si>
  <si>
    <t>El empaque de la jeringa y aguja debe destaparse en el momento frente a la familia</t>
  </si>
  <si>
    <t>5. Emisión de Registro PAIWEB</t>
  </si>
  <si>
    <t>Certificación digital en el sistema oficial del Ministerio</t>
  </si>
  <si>
    <t>¿Queda registrada la dosis hoy mismo en la plataforma PAIWEB?</t>
  </si>
  <si>
    <t>La IPS debe entregar el carné firmado y garantizar el reporte digital en PAIWEB</t>
  </si>
  <si>
    <t>Comparativa de Marcas Comerciales</t>
  </si>
  <si>
    <t>Categoría</t>
  </si>
  <si>
    <t>Marcas Comerciales en Colombia</t>
  </si>
  <si>
    <t>Fabricante</t>
  </si>
  <si>
    <t>Presentación y Diferencias</t>
  </si>
  <si>
    <t>¿Son Intercambiables?</t>
  </si>
  <si>
    <t>Recomendación Práctica</t>
  </si>
  <si>
    <t>Hexaxim vs. Infanrix Hexa</t>
  </si>
  <si>
    <t>Sanofi Pasteur vs. GSK</t>
  </si>
  <si>
    <t>Hexaxim viene líquida lista para inyectar; Infanrix Hexa requiere mezclar el vial liofilizado de Hib con la jeringa</t>
  </si>
  <si>
    <t>Sí, son 100% intercambiables</t>
  </si>
  <si>
    <t>Ambas ofrecen idéntica protección y perfil de seguridad acelular</t>
  </si>
  <si>
    <t>Meningococo ACWY</t>
  </si>
  <si>
    <t>MenQuadfi vs. Menactra vs. Nimenrix</t>
  </si>
  <si>
    <t>Sanofi Pasteur vs. Pfizer</t>
  </si>
  <si>
    <t>MenQuadfi está conjugada con toxoide tetánico (mayor inmunogenicidad prolongada); Menactra y Nimenrix cubren los mismos 4 serogrupos</t>
  </si>
  <si>
    <t>Sí, intercambiables</t>
  </si>
  <si>
    <t>Protegen contra serogrupos A, C, W135 e Y</t>
  </si>
  <si>
    <t>GSK</t>
  </si>
  <si>
    <t>Vacuna de 4 componentes proteicos recombinantes específicos contra el serogrupo B</t>
  </si>
  <si>
    <t>NO sustituye a la ACWY; se complementan</t>
  </si>
  <si>
    <t>Es la única que protege contra el serogrupo B (causante de brotes graves)</t>
  </si>
  <si>
    <t>Rotavirus</t>
  </si>
  <si>
    <t>Rotateq vs. Rotarix</t>
  </si>
  <si>
    <t>MSD vs. GSK</t>
  </si>
  <si>
    <t>Rotateq es pentavalente (bovino-humana, 3 dosis a los 2, 4 y 6 meses); Rotarix es monovalente humana (2 dosis a los 2 y 4 meses)</t>
  </si>
  <si>
    <t>Preferible completar con la misma marca</t>
  </si>
  <si>
    <t>La del PAI regular es de 2 dosis; Rotateq particular cubre 5 serotipos</t>
  </si>
  <si>
    <t>Boostrix vs. Adacel</t>
  </si>
  <si>
    <t>GSK vs. Sanofi Pasteur</t>
  </si>
  <si>
    <t>Ambas son vacunas acelulares con componentes purificados y menor carga de toxoide diftérico</t>
  </si>
  <si>
    <t>Sí, 100% intercambiables</t>
  </si>
  <si>
    <t>Recomendadas a los 18 meses, 5 años y para adultos en estrategia capullo</t>
  </si>
  <si>
    <t>VPH</t>
  </si>
  <si>
    <t>Gardasil 9 vs. Gardasil 4</t>
  </si>
  <si>
    <t>MSD</t>
  </si>
  <si>
    <t>Gardasil 9 protege contra 9 tipos oncogénicos (6, 11, 16, 18, 31, 33, 45, 52, 58); Gardasil 4 protege contra 4</t>
  </si>
  <si>
    <t>Complementarias</t>
  </si>
  <si>
    <t>El PAI cubre gratis la tetravalente; Gardasil 9 amplía la protección en el sector particular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</si>
</sst>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quot;$&quot;#,##0"/>
  </numFmts>
  <fonts count="10">
    <font>
      <sz val="10.0"/>
      <color rgb="FF000000"/>
      <name val="Arial"/>
      <scheme val="minor"/>
    </font>
    <font>
      <b/>
      <sz val="11.0"/>
      <color rgb="FFFFFFFF"/>
      <name val="Montserrat"/>
    </font>
    <font>
      <b/>
      <sz val="10.0"/>
      <color rgb="FFFFFFFF"/>
      <name val="Arial"/>
    </font>
    <font>
      <sz val="10.0"/>
      <color rgb="FF171C1F"/>
      <name val="Arial"/>
    </font>
    <font>
      <sz val="10.0"/>
      <color rgb="FF181B20"/>
      <name val="Roboto"/>
    </font>
    <font>
      <u/>
      <sz val="10.0"/>
      <color rgb="FF181B20"/>
      <name val="Roboto"/>
    </font>
    <font>
      <sz val="10.0"/>
      <color rgb="FF171C1B"/>
      <name val="Roboto"/>
    </font>
    <font>
      <color theme="1"/>
      <name val="Arial"/>
      <scheme val="minor"/>
    </font>
    <font>
      <sz val="10.0"/>
      <color rgb="FF171C1F"/>
      <name val="Roboto"/>
    </font>
    <font>
      <u/>
      <sz val="10.0"/>
      <color rgb="FF171C1B"/>
      <name val="Roboto"/>
    </font>
  </fonts>
  <fills count="4">
    <fill>
      <patternFill patternType="none"/>
    </fill>
    <fill>
      <patternFill patternType="lightGray"/>
    </fill>
    <fill>
      <patternFill patternType="solid">
        <fgColor rgb="FF37608F"/>
        <bgColor rgb="FF37608F"/>
      </patternFill>
    </fill>
    <fill>
      <patternFill patternType="solid">
        <fgColor rgb="FF006A5D"/>
        <bgColor rgb="FF006A5D"/>
      </patternFill>
    </fill>
  </fills>
  <borders count="6">
    <border/>
    <border>
      <left style="thin">
        <color rgb="FF73777E"/>
      </left>
      <right style="thin">
        <color rgb="FF73777E"/>
      </right>
      <top style="thin">
        <color rgb="FF73777E"/>
      </top>
      <bottom style="thin">
        <color rgb="FF73777E"/>
      </bottom>
    </border>
    <border>
      <left style="thin">
        <color rgb="FF71777E"/>
      </left>
      <right style="thin">
        <color rgb="FF71777E"/>
      </right>
      <top style="thin">
        <color rgb="FF71777E"/>
      </top>
      <bottom style="thin">
        <color rgb="FF71777E"/>
      </bottom>
    </border>
    <border>
      <left style="thin">
        <color rgb="FF6F7875"/>
      </left>
      <right style="thin">
        <color rgb="FF6F7875"/>
      </right>
      <top style="thin">
        <color rgb="FF6F7875"/>
      </top>
      <bottom style="thin">
        <color rgb="FF6F7875"/>
      </bottom>
    </border>
    <border>
      <left style="thin">
        <color rgb="FF6F7875"/>
      </left>
      <right style="thin">
        <color rgb="FF6F7875"/>
      </right>
      <top style="thin">
        <color rgb="FF6F7875"/>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2"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shrinkToFit="0" vertical="center" wrapText="1"/>
    </xf>
    <xf borderId="2" fillId="0" fontId="3" numFmtId="0" xfId="0" applyAlignment="1" applyBorder="1" applyFont="1">
      <alignment readingOrder="0"/>
    </xf>
    <xf borderId="3" fillId="3" fontId="1" numFmtId="0" xfId="0" applyAlignment="1" applyBorder="1" applyFill="1" applyFont="1">
      <alignment horizontal="center" readingOrder="0" shrinkToFit="0" vertical="center" wrapText="1"/>
    </xf>
    <xf borderId="3" fillId="0" fontId="6" numFmtId="0" xfId="0" applyAlignment="1" applyBorder="1" applyFont="1">
      <alignment readingOrder="0" shrinkToFit="0" vertical="center" wrapText="1"/>
    </xf>
    <xf borderId="0" fillId="0" fontId="7" numFmtId="0" xfId="0" applyAlignment="1" applyFont="1">
      <alignment readingOrder="0"/>
    </xf>
    <xf borderId="4" fillId="0" fontId="6" numFmtId="0" xfId="0" applyAlignment="1" applyBorder="1" applyFont="1">
      <alignment readingOrder="0" shrinkToFit="0" vertical="center" wrapText="1"/>
    </xf>
    <xf borderId="5" fillId="0" fontId="6" numFmtId="0" xfId="0" applyAlignment="1" applyBorder="1" applyFont="1">
      <alignment readingOrder="0" shrinkToFit="0" vertical="center" wrapText="1"/>
    </xf>
    <xf borderId="0" fillId="0" fontId="7" numFmtId="164" xfId="0" applyAlignment="1" applyFont="1" applyNumberFormat="1">
      <alignment readingOrder="0"/>
    </xf>
    <xf borderId="0" fillId="0" fontId="1" numFmtId="0" xfId="0" applyAlignment="1" applyFont="1">
      <alignment readingOrder="0"/>
    </xf>
    <xf borderId="2" fillId="0" fontId="8" numFmtId="0" xfId="0" applyAlignment="1" applyBorder="1" applyFont="1">
      <alignment readingOrder="0"/>
    </xf>
    <xf borderId="5" fillId="0" fontId="9" numFmtId="0" xfId="0" applyAlignment="1" applyBorder="1" applyFont="1">
      <alignment readingOrder="0" shrinkToFit="0" vertical="center" wrapText="1"/>
    </xf>
    <xf borderId="2" fillId="0" fontId="8" numFmtId="164" xfId="0" applyBorder="1" applyFont="1" applyNumberFormat="1"/>
    <xf borderId="2" fillId="0" fontId="8" numFmtId="165" xfId="0" applyAlignment="1" applyBorder="1" applyFont="1" applyNumberFormat="1">
      <alignment readingOrder="0"/>
    </xf>
    <xf borderId="2" fillId="0" fontId="8" numFmtId="0" xfId="0" applyBorder="1" applyFont="1"/>
    <xf borderId="2" fillId="0" fontId="8" numFmtId="14" xfId="0" applyBorder="1" applyFont="1" applyNumberFormat="1"/>
    <xf borderId="0" fillId="0" fontId="7" numFmtId="165" xfId="0" applyFont="1" applyNumberFormat="1"/>
    <xf borderId="5" fillId="0" fontId="7" numFmtId="0" xfId="0" applyAlignment="1" applyBorder="1" applyFont="1">
      <alignment readingOrder="0"/>
    </xf>
    <xf borderId="5" fillId="0" fontId="7" numFmtId="0" xfId="0" applyBorder="1" applyFont="1"/>
    <xf borderId="5" fillId="0" fontId="7" numFmtId="165" xfId="0" applyBorder="1" applyFont="1" applyNumberFormat="1"/>
  </cellXfs>
  <cellStyles count="1">
    <cellStyle xfId="0" name="Normal" builtinId="0"/>
  </cellStyles>
  <dxfs count="7">
    <dxf>
      <font/>
      <fill>
        <patternFill patternType="none"/>
      </fill>
      <border/>
    </dxf>
    <dxf>
      <font/>
      <fill>
        <patternFill patternType="solid">
          <fgColor rgb="FFF7F9FF"/>
          <bgColor rgb="FFF7F9FF"/>
        </patternFill>
      </fill>
      <border/>
    </dxf>
    <dxf>
      <font/>
      <fill>
        <patternFill patternType="solid">
          <fgColor rgb="FF2F618B"/>
          <bgColor rgb="FF2F618B"/>
        </patternFill>
      </fill>
      <border/>
    </dxf>
    <dxf>
      <font/>
      <fill>
        <patternFill patternType="solid">
          <fgColor rgb="FFFFFFFF"/>
          <bgColor rgb="FFFFFFFF"/>
        </patternFill>
      </fill>
      <border/>
    </dxf>
    <dxf>
      <font/>
      <fill>
        <patternFill patternType="solid">
          <fgColor rgb="FFF7F8FF"/>
          <bgColor rgb="FFF7F8FF"/>
        </patternFill>
      </fill>
      <border/>
    </dxf>
    <dxf>
      <font/>
      <fill>
        <patternFill patternType="solid">
          <fgColor rgb="FFF4FAF7"/>
          <bgColor rgb="FFF4FAF7"/>
        </patternFill>
      </fill>
      <border/>
    </dxf>
    <dxf>
      <font/>
      <fill>
        <patternFill patternType="solid">
          <fgColor rgb="FF2D618B"/>
          <bgColor rgb="FF2D618B"/>
        </patternFill>
      </fill>
      <border/>
    </dxf>
  </dxfs>
  <tableStyles count="13">
    <tableStyle count="2" pivot="0" name="Tarifas y Costos-style">
      <tableStyleElement dxfId="1" type="firstRowStripe"/>
      <tableStyleElement dxfId="3" type="secondRowStripe"/>
    </tableStyle>
    <tableStyle count="2" pivot="0" name="Esquema PAI Estado-style">
      <tableStyleElement dxfId="1" type="firstRowStripe"/>
      <tableStyleElement dxfId="3" type="secondRowStripe"/>
    </tableStyle>
    <tableStyle count="3" pivot="0" name="Puntos Atencion Ciudades-style">
      <tableStyleElement dxfId="2" type="headerRow"/>
      <tableStyleElement dxfId="4" type="firstRowStripe"/>
      <tableStyleElement dxfId="3" type="secondRowStripe"/>
    </tableStyle>
    <tableStyle count="2" pivot="0" name="Vacunas Acelulares y Privadas-style">
      <tableStyleElement dxfId="1" type="firstRowStripe"/>
      <tableStyleElement dxfId="3" type="secondRowStripe"/>
    </tableStyle>
    <tableStyle count="2" pivot="0" name="Guia y Recomendaciones-style">
      <tableStyleElement dxfId="1" type="firstRowStripe"/>
      <tableStyleElement dxfId="3" type="secondRowStripe"/>
    </tableStyle>
    <tableStyle count="2" pivot="0" name="Vacunacion en EPS-style">
      <tableStyleElement dxfId="5" type="firstRowStripe"/>
      <tableStyleElement dxfId="3" type="secondRowStripe"/>
    </tableStyle>
    <tableStyle count="2" pivot="0" name="Vacunacion en EPS-style 2">
      <tableStyleElement dxfId="5" type="firstRowStripe"/>
      <tableStyleElement dxfId="3" type="secondRowStripe"/>
    </tableStyle>
    <tableStyle count="3" pivot="0" name="Rastreador Vacunal-style">
      <tableStyleElement dxfId="6" type="headerRow"/>
      <tableStyleElement dxfId="4" type="firstRowStripe"/>
      <tableStyleElement dxfId="3" type="secondRowStripe"/>
    </tableStyle>
    <tableStyle count="3" pivot="0" name="Simulador presupuesto-style">
      <tableStyleElement dxfId="6" type="headerRow"/>
      <tableStyleElement dxfId="4" type="firstRowStripe"/>
      <tableStyleElement dxfId="3" type="secondRowStripe"/>
    </tableStyle>
    <tableStyle count="3" pivot="0" name="Cuidados y Urgencias-style">
      <tableStyleElement dxfId="6" type="headerRow"/>
      <tableStyleElement dxfId="4" type="firstRowStripe"/>
      <tableStyleElement dxfId="3" type="secondRowStripe"/>
    </tableStyle>
    <tableStyle count="3" pivot="0" name="Cuidados y Urgencias-style 2">
      <tableStyleElement dxfId="6" type="headerRow"/>
      <tableStyleElement dxfId="4" type="firstRowStripe"/>
      <tableStyleElement dxfId="3" type="secondRowStripe"/>
    </tableStyle>
    <tableStyle count="3" pivot="0" name="Seguridad Vacunacion-style">
      <tableStyleElement dxfId="6" type="headerRow"/>
      <tableStyleElement dxfId="4" type="firstRowStripe"/>
      <tableStyleElement dxfId="3" type="secondRowStripe"/>
    </tableStyle>
    <tableStyle count="3" pivot="0" name="Comparativa_Marcas-style">
      <tableStyleElement dxfId="6" type="headerRow"/>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F28" displayName="Table_4" name="Table_4" id="3">
  <tableColumns count="6">
    <tableColumn name="Column1" id="1"/>
    <tableColumn name="Column2" id="2"/>
    <tableColumn name="Column3" id="3"/>
    <tableColumn name="Column4" id="4"/>
    <tableColumn name="Column5" id="5"/>
    <tableColumn name="Column6" id="6"/>
  </tableColumns>
  <tableStyleInfo name="Esquema PAI Estado-style" showColumnStripes="0" showFirstColumn="1" showLastColumn="1" showRowStripes="1"/>
</table>
</file>

<file path=xl/tables/table2.xml><?xml version="1.0" encoding="utf-8"?>
<table xmlns="http://schemas.openxmlformats.org/spreadsheetml/2006/main" headerRowCount="0" ref="A2:G9" displayName="Table_2" name="Table_2" id="4">
  <tableColumns count="7">
    <tableColumn name="Column1" id="1"/>
    <tableColumn name="Column2" id="2"/>
    <tableColumn name="Column3" id="3"/>
    <tableColumn name="Column4" id="4"/>
    <tableColumn name="Column5" id="5"/>
    <tableColumn name="Column6" id="6"/>
    <tableColumn name="Column7" id="7"/>
  </tableColumns>
  <tableStyleInfo name="Vacunas Acelulares y Privadas-style" showColumnStripes="0" showFirstColumn="1" showLastColumn="1" showRowStripes="1"/>
</table>
</file>

<file path=xl/tables/table3.xml><?xml version="1.0" encoding="utf-8"?>
<table xmlns="http://schemas.openxmlformats.org/spreadsheetml/2006/main" headerRowCount="0" ref="A2:H11"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Tarifas y Costos-style" showColumnStripes="0" showFirstColumn="1" showLastColumn="1" showRowStripes="1"/>
</table>
</file>

<file path=xl/tables/table4.xml><?xml version="1.0" encoding="utf-8"?>
<table xmlns="http://schemas.openxmlformats.org/spreadsheetml/2006/main" ref="A1:G38" displayName="Table_3" name="Table_3" id="2">
  <tableColumns count="7">
    <tableColumn name="Ciudad" id="1"/>
    <tableColumn name="EPS / Entidad" id="2"/>
    <tableColumn name="Red de IPS / Prestador" id="3"/>
    <tableColumn name="Sedes y Puntos Clave en la Ciudad" id="4"/>
    <tableColumn name="Tipo de Cobertura" id="5"/>
    <tableColumn name="Requisitos de Acceso" id="6"/>
    <tableColumn name="Fuente URL" id="7"/>
  </tableColumns>
  <tableStyleInfo name="Puntos Atencion Ciudades-style" showColumnStripes="0" showFirstColumn="1" showLastColumn="1" showRowStripes="1"/>
</table>
</file>

<file path=xl/tables/table5.xml><?xml version="1.0" encoding="utf-8"?>
<table xmlns="http://schemas.openxmlformats.org/spreadsheetml/2006/main" headerRowCount="0" ref="A2:E10" displayName="Table_5" name="Table_5" id="5">
  <tableColumns count="5">
    <tableColumn name="Column1" id="1"/>
    <tableColumn name="Column2" id="2"/>
    <tableColumn name="Column3" id="3"/>
    <tableColumn name="Column4" id="4"/>
    <tableColumn name="Column5" id="5"/>
  </tableColumns>
  <tableStyleInfo name="Guia y Recomendaciones-style" showColumnStripes="0" showFirstColumn="1" showLastColumn="1" showRowStripes="1"/>
</table>
</file>

<file path=xl/tables/table6.xml><?xml version="1.0" encoding="utf-8"?>
<table xmlns="http://schemas.openxmlformats.org/spreadsheetml/2006/main" headerRowCount="0" ref="A2:F11" displayName="Table_6" name="Table_6" id="6">
  <tableColumns count="6">
    <tableColumn name="Column1" id="1"/>
    <tableColumn name="Column2" id="2"/>
    <tableColumn name="Column3" id="3"/>
    <tableColumn name="Column4" id="4"/>
    <tableColumn name="Column5" id="5"/>
    <tableColumn name="Column6" id="6"/>
  </tableColumns>
  <tableStyleInfo name="Vacunacion en EPS-style" showColumnStripes="0" showFirstColumn="1" showLastColumn="1" showRowStripes="1"/>
</table>
</file>

<file path=xl/tables/table7.xml><?xml version="1.0" encoding="utf-8"?>
<table xmlns="http://schemas.openxmlformats.org/spreadsheetml/2006/main" headerRowCount="0" ref="A14:F17" displayName="Table_7" name="Table_7" id="7">
  <tableColumns count="6">
    <tableColumn name="Column1" id="1"/>
    <tableColumn name="Column2" id="2"/>
    <tableColumn name="Column3" id="3"/>
    <tableColumn name="Column4" id="4"/>
    <tableColumn name="Column5" id="5"/>
    <tableColumn name="Column6" id="6"/>
  </tableColumns>
  <tableStyleInfo name="Vacunacion en EPS-style 2" showColumnStripes="0" showFirstColumn="1" showLastColumn="1" showRowStripes="1"/>
</table>
</file>

<file path=xl/tables/table8.xml><?xml version="1.0" encoding="utf-8"?>
<table xmlns="http://schemas.openxmlformats.org/spreadsheetml/2006/main" ref="A4:J12" displayName="Table_8" name="Table_8" id="8">
  <tableColumns count="10">
    <tableColumn name="Hito / Edad" id="1"/>
    <tableColumn name="Vacunas a Aplicar" id="2"/>
    <tableColumn name="Fecha Sugerida" id="3"/>
    <tableColumn name="Estado / Aplicada" id="4"/>
    <tableColumn name="Fecha Real de Aplicación" id="5"/>
    <tableColumn name="Biológico / Marca Utilizada" id="6"/>
    <tableColumn name="Lote" id="7"/>
    <tableColumn name="IPS / Punto de Vacunación" id="8"/>
    <tableColumn name="Registrado en PAIWEB" id="9"/>
    <tableColumn name="Notas y Reacciones" id="10"/>
  </tableColumns>
  <tableStyleInfo name="Rastreador Vacunal-style" showColumnStripes="0" showFirstColumn="1" showLastColumn="1" showRowStripes="1"/>
</table>
</file>

<file path=xl/tables/table9.xml><?xml version="1.0" encoding="utf-8"?>
<table xmlns="http://schemas.openxmlformats.org/spreadsheetml/2006/main" ref="A3:F10" displayName="Table_9" name="Table_9" id="9">
  <tableColumns count="6">
    <tableColumn name="Visita / Control" id="1"/>
    <tableColumn name="Vacunas Incluidas en la Cita" id="2"/>
    <tableColumn name="Cajas Cat. A (&lt;2 SMMLV)" id="3"/>
    <tableColumn name="Cajas Cat. B (2-4 SMMLV)" id="4"/>
    <tableColumn name="Cajas Cat. C / No Afiliado" id="5"/>
    <tableColumn name="Cruz Roja / Clínicas Privadas" id="6"/>
  </tableColumns>
  <tableStyleInfo name="Simulador presupuesto-style" showColumnStripes="0" showFirstColumn="1" showLastColumn="1" showRowStripes="1"/>
</table>
</file>

<file path=xl/tables/table10.xml><?xml version="1.0" encoding="utf-8"?>
<table xmlns="http://schemas.openxmlformats.org/spreadsheetml/2006/main" ref="A4:E8" displayName="Table_10" name="Table_10" id="10">
  <tableColumns count="5">
    <tableColumn name="Reacción Frecuente" id="1"/>
    <tableColumn name="Por qué ocurre" id="2"/>
    <tableColumn name="Cuidados y Qué HACER" id="3"/>
    <tableColumn name="Qué NUNCA hacer" id="4"/>
    <tableColumn name="Manejo Farmacológico" id="5"/>
  </tableColumns>
  <tableStyleInfo name="Cuidados y Urgencias-style" showColumnStripes="0" showFirstColumn="1" showLastColumn="1" showRowStripes="1"/>
</table>
</file>

<file path=xl/tables/table11.xml><?xml version="1.0" encoding="utf-8"?>
<table xmlns="http://schemas.openxmlformats.org/spreadsheetml/2006/main" ref="A11:D17" displayName="Table_11" name="Table_11" id="11">
  <tableColumns count="4">
    <tableColumn name="Signo de Alarma Crítico" id="1"/>
    <tableColumn name="Posible Causa Médica" id="2"/>
    <tableColumn name="Momento de Aparición" id="3"/>
    <tableColumn name="Acción Inmediata Requerida" id="4"/>
  </tableColumns>
  <tableStyleInfo name="Cuidados y Urgencias-style 2" showColumnStripes="0" showFirstColumn="1" showLastColumn="1" showRowStripes="1"/>
</table>
</file>

<file path=xl/tables/table12.xml><?xml version="1.0" encoding="utf-8"?>
<table xmlns="http://schemas.openxmlformats.org/spreadsheetml/2006/main" ref="A3:D8" displayName="Table_12" name="Table_12" id="12">
  <tableColumns count="4">
    <tableColumn name="Paso de Seguridad" id="1"/>
    <tableColumn name="Qué debe verificar el padre o madre" id="2"/>
    <tableColumn name="Pregunta sugerida para hacerle al vacunador" id="3"/>
    <tableColumn name="Criterio de Seguridad Correcto" id="4"/>
  </tableColumns>
  <tableStyleInfo name="Seguridad Vacunacion-style" showColumnStripes="0" showFirstColumn="1" showLastColumn="1" showRowStripes="1"/>
</table>
</file>

<file path=xl/tables/table13.xml><?xml version="1.0" encoding="utf-8"?>
<table xmlns="http://schemas.openxmlformats.org/spreadsheetml/2006/main" ref="A3:F9" displayName="Table_13" name="Table_13" id="13">
  <tableColumns count="6">
    <tableColumn name="Categoría" id="1"/>
    <tableColumn name="Marcas Comerciales en Colombia" id="2"/>
    <tableColumn name="Fabricante" id="3"/>
    <tableColumn name="Presentación y Diferencias" id="4"/>
    <tableColumn name="¿Son Intercambiables?" id="5"/>
    <tableColumn name="Recomendación Práctica" id="6"/>
  </tableColumns>
  <tableStyleInfo name="Comparativa_Mar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apitalsalud.gov.co/" TargetMode="External"/><Relationship Id="rId2" Type="http://schemas.openxmlformats.org/officeDocument/2006/relationships/hyperlink" Target="https://metrosalud.gov.co/" TargetMode="External"/><Relationship Id="rId3" Type="http://schemas.openxmlformats.org/officeDocument/2006/relationships/hyperlink" Target="https://emssanareps.co/" TargetMode="External"/><Relationship Id="rId4" Type="http://schemas.openxmlformats.org/officeDocument/2006/relationships/hyperlink" Target="https://miredbarranquilla.com/" TargetMode="External"/><Relationship Id="rId9" Type="http://schemas.openxmlformats.org/officeDocument/2006/relationships/table" Target="../tables/table7.xml"/><Relationship Id="rId5" Type="http://schemas.openxmlformats.org/officeDocument/2006/relationships/drawing" Target="../drawings/drawing6.x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0.xml"/><Relationship Id="rId5"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38"/>
    <col customWidth="1" min="2" max="2" width="32.13"/>
    <col customWidth="1" min="3" max="3" width="11.25"/>
    <col customWidth="1" min="4" max="4" width="35.88"/>
    <col customWidth="1" min="5" max="5" width="17.75"/>
    <col customWidth="1" min="6" max="6" width="12.13"/>
    <col customWidth="1" min="7" max="26" width="36.25"/>
  </cols>
  <sheetData>
    <row r="1">
      <c r="A1" s="1" t="s">
        <v>1</v>
      </c>
      <c r="B1" s="1" t="s">
        <v>3</v>
      </c>
      <c r="C1" s="1" t="s">
        <v>10</v>
      </c>
      <c r="D1" s="1" t="s">
        <v>15</v>
      </c>
      <c r="E1" s="1" t="s">
        <v>20</v>
      </c>
      <c r="F1" s="1" t="s">
        <v>22</v>
      </c>
    </row>
    <row r="2">
      <c r="A2" s="4" t="s">
        <v>25</v>
      </c>
      <c r="B2" s="4" t="s">
        <v>34</v>
      </c>
      <c r="C2" s="4" t="s">
        <v>39</v>
      </c>
      <c r="D2" s="4" t="s">
        <v>43</v>
      </c>
      <c r="E2" s="4" t="s">
        <v>47</v>
      </c>
      <c r="F2" s="5" t="str">
        <f t="shared" ref="F2:F28" si="1">HYPERLINK("https://vacunacion.minsalud.gov.co/", "MinSalud")</f>
        <v>MinSalud</v>
      </c>
    </row>
    <row r="3">
      <c r="A3" s="4" t="s">
        <v>25</v>
      </c>
      <c r="B3" s="4" t="s">
        <v>75</v>
      </c>
      <c r="C3" s="4" t="s">
        <v>79</v>
      </c>
      <c r="D3" s="4" t="s">
        <v>82</v>
      </c>
      <c r="E3" s="4" t="s">
        <v>47</v>
      </c>
      <c r="F3" s="5" t="str">
        <f t="shared" si="1"/>
        <v>MinSalud</v>
      </c>
    </row>
    <row r="4">
      <c r="A4" s="4" t="s">
        <v>105</v>
      </c>
      <c r="B4" s="4" t="s">
        <v>108</v>
      </c>
      <c r="C4" s="4" t="s">
        <v>79</v>
      </c>
      <c r="D4" s="4" t="s">
        <v>114</v>
      </c>
      <c r="E4" s="4" t="s">
        <v>47</v>
      </c>
      <c r="F4" s="5" t="str">
        <f t="shared" si="1"/>
        <v>MinSalud</v>
      </c>
    </row>
    <row r="5">
      <c r="A5" s="4" t="s">
        <v>105</v>
      </c>
      <c r="B5" s="4" t="s">
        <v>131</v>
      </c>
      <c r="C5" s="4" t="s">
        <v>79</v>
      </c>
      <c r="D5" s="4" t="s">
        <v>135</v>
      </c>
      <c r="E5" s="4" t="s">
        <v>47</v>
      </c>
      <c r="F5" s="5" t="str">
        <f t="shared" si="1"/>
        <v>MinSalud</v>
      </c>
    </row>
    <row r="6">
      <c r="A6" s="4" t="s">
        <v>105</v>
      </c>
      <c r="B6" s="4" t="s">
        <v>145</v>
      </c>
      <c r="C6" s="4" t="s">
        <v>148</v>
      </c>
      <c r="D6" s="4" t="s">
        <v>152</v>
      </c>
      <c r="E6" s="4" t="s">
        <v>47</v>
      </c>
      <c r="F6" s="5" t="str">
        <f t="shared" si="1"/>
        <v>MinSalud</v>
      </c>
    </row>
    <row r="7">
      <c r="A7" s="4" t="s">
        <v>105</v>
      </c>
      <c r="B7" s="4" t="s">
        <v>164</v>
      </c>
      <c r="C7" s="4" t="s">
        <v>79</v>
      </c>
      <c r="D7" s="4" t="s">
        <v>168</v>
      </c>
      <c r="E7" s="4" t="s">
        <v>47</v>
      </c>
      <c r="F7" s="5" t="str">
        <f t="shared" si="1"/>
        <v>MinSalud</v>
      </c>
    </row>
    <row r="8">
      <c r="A8" s="4" t="s">
        <v>179</v>
      </c>
      <c r="B8" s="4" t="s">
        <v>182</v>
      </c>
      <c r="C8" s="4" t="s">
        <v>79</v>
      </c>
      <c r="D8" s="4" t="s">
        <v>185</v>
      </c>
      <c r="E8" s="4" t="s">
        <v>47</v>
      </c>
      <c r="F8" s="5" t="str">
        <f t="shared" si="1"/>
        <v>MinSalud</v>
      </c>
    </row>
    <row r="9">
      <c r="A9" s="4" t="s">
        <v>179</v>
      </c>
      <c r="B9" s="4" t="s">
        <v>196</v>
      </c>
      <c r="C9" s="4" t="s">
        <v>79</v>
      </c>
      <c r="D9" s="4" t="s">
        <v>202</v>
      </c>
      <c r="E9" s="4" t="s">
        <v>47</v>
      </c>
      <c r="F9" s="5" t="str">
        <f t="shared" si="1"/>
        <v>MinSalud</v>
      </c>
    </row>
    <row r="10">
      <c r="A10" s="4" t="s">
        <v>179</v>
      </c>
      <c r="B10" s="4" t="s">
        <v>213</v>
      </c>
      <c r="C10" s="4" t="s">
        <v>148</v>
      </c>
      <c r="D10" s="4" t="s">
        <v>219</v>
      </c>
      <c r="E10" s="4" t="s">
        <v>47</v>
      </c>
      <c r="F10" s="5" t="str">
        <f t="shared" si="1"/>
        <v>MinSalud</v>
      </c>
    </row>
    <row r="11">
      <c r="A11" s="4" t="s">
        <v>179</v>
      </c>
      <c r="B11" s="4" t="s">
        <v>228</v>
      </c>
      <c r="C11" s="4" t="s">
        <v>79</v>
      </c>
      <c r="D11" s="4" t="s">
        <v>232</v>
      </c>
      <c r="E11" s="4" t="s">
        <v>47</v>
      </c>
      <c r="F11" s="5" t="str">
        <f t="shared" si="1"/>
        <v>MinSalud</v>
      </c>
    </row>
    <row r="12">
      <c r="A12" s="4" t="s">
        <v>243</v>
      </c>
      <c r="B12" s="4" t="s">
        <v>246</v>
      </c>
      <c r="C12" s="4" t="s">
        <v>79</v>
      </c>
      <c r="D12" s="4" t="s">
        <v>250</v>
      </c>
      <c r="E12" s="4" t="s">
        <v>47</v>
      </c>
      <c r="F12" s="5" t="str">
        <f t="shared" si="1"/>
        <v>MinSalud</v>
      </c>
    </row>
    <row r="13">
      <c r="A13" s="4" t="s">
        <v>243</v>
      </c>
      <c r="B13" s="4" t="s">
        <v>272</v>
      </c>
      <c r="C13" s="4" t="s">
        <v>79</v>
      </c>
      <c r="D13" s="4" t="s">
        <v>276</v>
      </c>
      <c r="E13" s="4" t="s">
        <v>47</v>
      </c>
      <c r="F13" s="5" t="str">
        <f t="shared" si="1"/>
        <v>MinSalud</v>
      </c>
    </row>
    <row r="14">
      <c r="A14" s="4" t="s">
        <v>243</v>
      </c>
      <c r="B14" s="4" t="s">
        <v>283</v>
      </c>
      <c r="C14" s="4" t="s">
        <v>79</v>
      </c>
      <c r="D14" s="4" t="s">
        <v>284</v>
      </c>
      <c r="E14" s="4" t="s">
        <v>47</v>
      </c>
      <c r="F14" s="5" t="str">
        <f t="shared" si="1"/>
        <v>MinSalud</v>
      </c>
    </row>
    <row r="15">
      <c r="A15" s="4" t="s">
        <v>288</v>
      </c>
      <c r="B15" s="4" t="s">
        <v>291</v>
      </c>
      <c r="C15" s="4" t="s">
        <v>79</v>
      </c>
      <c r="D15" s="4" t="s">
        <v>312</v>
      </c>
      <c r="E15" s="4" t="s">
        <v>47</v>
      </c>
      <c r="F15" s="5" t="str">
        <f t="shared" si="1"/>
        <v>MinSalud</v>
      </c>
    </row>
    <row r="16">
      <c r="A16" s="4" t="s">
        <v>319</v>
      </c>
      <c r="B16" s="4" t="s">
        <v>322</v>
      </c>
      <c r="C16" s="4" t="s">
        <v>323</v>
      </c>
      <c r="D16" s="4" t="s">
        <v>325</v>
      </c>
      <c r="E16" s="4" t="s">
        <v>47</v>
      </c>
      <c r="F16" s="5" t="str">
        <f t="shared" si="1"/>
        <v>MinSalud</v>
      </c>
    </row>
    <row r="17">
      <c r="A17" s="4" t="s">
        <v>319</v>
      </c>
      <c r="B17" s="4" t="s">
        <v>328</v>
      </c>
      <c r="C17" s="4" t="s">
        <v>323</v>
      </c>
      <c r="D17" s="4" t="s">
        <v>329</v>
      </c>
      <c r="E17" s="4" t="s">
        <v>47</v>
      </c>
      <c r="F17" s="5" t="str">
        <f t="shared" si="1"/>
        <v>MinSalud</v>
      </c>
    </row>
    <row r="18">
      <c r="A18" s="4" t="s">
        <v>319</v>
      </c>
      <c r="B18" s="4" t="s">
        <v>334</v>
      </c>
      <c r="C18" s="4" t="s">
        <v>79</v>
      </c>
      <c r="D18" s="4" t="s">
        <v>337</v>
      </c>
      <c r="E18" s="4" t="s">
        <v>47</v>
      </c>
      <c r="F18" s="5" t="str">
        <f t="shared" si="1"/>
        <v>MinSalud</v>
      </c>
    </row>
    <row r="19">
      <c r="A19" s="4" t="s">
        <v>319</v>
      </c>
      <c r="B19" s="4" t="s">
        <v>343</v>
      </c>
      <c r="C19" s="4" t="s">
        <v>79</v>
      </c>
      <c r="D19" s="4" t="s">
        <v>350</v>
      </c>
      <c r="E19" s="4" t="s">
        <v>47</v>
      </c>
      <c r="F19" s="5" t="str">
        <f t="shared" si="1"/>
        <v>MinSalud</v>
      </c>
    </row>
    <row r="20">
      <c r="A20" s="4" t="s">
        <v>354</v>
      </c>
      <c r="B20" s="4" t="s">
        <v>355</v>
      </c>
      <c r="C20" s="4" t="s">
        <v>79</v>
      </c>
      <c r="D20" s="4" t="s">
        <v>356</v>
      </c>
      <c r="E20" s="4" t="s">
        <v>47</v>
      </c>
      <c r="F20" s="5" t="str">
        <f t="shared" si="1"/>
        <v>MinSalud</v>
      </c>
    </row>
    <row r="21">
      <c r="A21" s="4" t="s">
        <v>354</v>
      </c>
      <c r="B21" s="4" t="s">
        <v>357</v>
      </c>
      <c r="C21" s="4" t="s">
        <v>79</v>
      </c>
      <c r="D21" s="4" t="s">
        <v>358</v>
      </c>
      <c r="E21" s="4" t="s">
        <v>47</v>
      </c>
      <c r="F21" s="5" t="str">
        <f t="shared" si="1"/>
        <v>MinSalud</v>
      </c>
    </row>
    <row r="22">
      <c r="A22" s="4" t="s">
        <v>354</v>
      </c>
      <c r="B22" s="4" t="s">
        <v>359</v>
      </c>
      <c r="C22" s="4" t="s">
        <v>323</v>
      </c>
      <c r="D22" s="4" t="s">
        <v>360</v>
      </c>
      <c r="E22" s="4" t="s">
        <v>47</v>
      </c>
      <c r="F22" s="5" t="str">
        <f t="shared" si="1"/>
        <v>MinSalud</v>
      </c>
    </row>
    <row r="23">
      <c r="A23" s="4" t="s">
        <v>361</v>
      </c>
      <c r="B23" s="4" t="s">
        <v>362</v>
      </c>
      <c r="C23" s="4" t="s">
        <v>79</v>
      </c>
      <c r="D23" s="4" t="s">
        <v>363</v>
      </c>
      <c r="E23" s="4" t="s">
        <v>47</v>
      </c>
      <c r="F23" s="5" t="str">
        <f t="shared" si="1"/>
        <v>MinSalud</v>
      </c>
    </row>
    <row r="24">
      <c r="A24" s="4" t="s">
        <v>361</v>
      </c>
      <c r="B24" s="4" t="s">
        <v>364</v>
      </c>
      <c r="C24" s="4" t="s">
        <v>79</v>
      </c>
      <c r="D24" s="4" t="s">
        <v>365</v>
      </c>
      <c r="E24" s="4" t="s">
        <v>47</v>
      </c>
      <c r="F24" s="5" t="str">
        <f t="shared" si="1"/>
        <v>MinSalud</v>
      </c>
    </row>
    <row r="25">
      <c r="A25" s="4" t="s">
        <v>361</v>
      </c>
      <c r="B25" s="4" t="s">
        <v>366</v>
      </c>
      <c r="C25" s="4" t="s">
        <v>323</v>
      </c>
      <c r="D25" s="4" t="s">
        <v>367</v>
      </c>
      <c r="E25" s="4" t="s">
        <v>47</v>
      </c>
      <c r="F25" s="5" t="str">
        <f t="shared" si="1"/>
        <v>MinSalud</v>
      </c>
    </row>
    <row r="26">
      <c r="A26" s="4" t="s">
        <v>361</v>
      </c>
      <c r="B26" s="4" t="s">
        <v>368</v>
      </c>
      <c r="C26" s="4" t="s">
        <v>323</v>
      </c>
      <c r="D26" s="4" t="s">
        <v>369</v>
      </c>
      <c r="E26" s="4" t="s">
        <v>47</v>
      </c>
      <c r="F26" s="5" t="str">
        <f t="shared" si="1"/>
        <v>MinSalud</v>
      </c>
    </row>
    <row r="27">
      <c r="A27" s="4" t="s">
        <v>370</v>
      </c>
      <c r="B27" s="4" t="s">
        <v>371</v>
      </c>
      <c r="C27" s="4" t="s">
        <v>79</v>
      </c>
      <c r="D27" s="4" t="s">
        <v>372</v>
      </c>
      <c r="E27" s="4" t="s">
        <v>47</v>
      </c>
      <c r="F27" s="5" t="str">
        <f t="shared" si="1"/>
        <v>MinSalud</v>
      </c>
    </row>
    <row r="28">
      <c r="A28" s="4" t="s">
        <v>373</v>
      </c>
      <c r="B28" s="4" t="s">
        <v>374</v>
      </c>
      <c r="C28" s="4" t="s">
        <v>79</v>
      </c>
      <c r="D28" s="4" t="s">
        <v>375</v>
      </c>
      <c r="E28" s="4" t="s">
        <v>47</v>
      </c>
      <c r="F28" s="5" t="str">
        <f t="shared" si="1"/>
        <v>MinSalud</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6" width="20.5"/>
  </cols>
  <sheetData>
    <row r="1">
      <c r="A1" s="1" t="s">
        <v>3</v>
      </c>
      <c r="B1" s="1" t="s">
        <v>5</v>
      </c>
      <c r="C1" s="1" t="s">
        <v>8</v>
      </c>
      <c r="D1" s="1" t="s">
        <v>13</v>
      </c>
      <c r="E1" s="1" t="s">
        <v>17</v>
      </c>
      <c r="F1" s="1" t="s">
        <v>21</v>
      </c>
      <c r="G1" s="1" t="s">
        <v>22</v>
      </c>
    </row>
    <row r="2">
      <c r="A2" s="4" t="s">
        <v>26</v>
      </c>
      <c r="B2" s="4" t="s">
        <v>31</v>
      </c>
      <c r="C2" s="4" t="s">
        <v>35</v>
      </c>
      <c r="D2" s="4" t="s">
        <v>38</v>
      </c>
      <c r="E2" s="4" t="s">
        <v>41</v>
      </c>
      <c r="F2" s="4" t="s">
        <v>46</v>
      </c>
      <c r="G2" s="5" t="str">
        <f>HYPERLINK("https://corporativo.compensar.com/salud/Paginas/vacunacion/tarifas-vacunas-complementarias.aspx", "Compensar")</f>
        <v>Compensar</v>
      </c>
    </row>
    <row r="3">
      <c r="A3" s="4" t="s">
        <v>69</v>
      </c>
      <c r="B3" s="4" t="s">
        <v>100</v>
      </c>
      <c r="C3" s="4" t="s">
        <v>103</v>
      </c>
      <c r="D3" s="4" t="s">
        <v>107</v>
      </c>
      <c r="E3" s="4" t="s">
        <v>110</v>
      </c>
      <c r="F3" s="4" t="s">
        <v>112</v>
      </c>
      <c r="G3" s="5" t="str">
        <f>HYPERLINK("https://salud.colsubsidio.com/vacunacion/vacunacion-complementaria", "Colsubsidio")</f>
        <v>Colsubsidio</v>
      </c>
    </row>
    <row r="4">
      <c r="A4" s="4" t="s">
        <v>89</v>
      </c>
      <c r="B4" s="4" t="s">
        <v>140</v>
      </c>
      <c r="C4" s="4" t="s">
        <v>142</v>
      </c>
      <c r="D4" s="4" t="s">
        <v>146</v>
      </c>
      <c r="E4" s="4" t="s">
        <v>150</v>
      </c>
      <c r="F4" s="4" t="s">
        <v>112</v>
      </c>
      <c r="G4" s="5" t="str">
        <f t="shared" ref="G4:G7" si="1">HYPERLINK("https://corporativo.compensar.com/salud/Paginas/vacunacion/tarifas-vacunas-complementarias.aspx", "Compensar")</f>
        <v>Compensar</v>
      </c>
    </row>
    <row r="5">
      <c r="A5" s="4" t="s">
        <v>122</v>
      </c>
      <c r="B5" s="4" t="s">
        <v>181</v>
      </c>
      <c r="C5" s="4" t="s">
        <v>183</v>
      </c>
      <c r="D5" s="4" t="s">
        <v>184</v>
      </c>
      <c r="E5" s="4" t="s">
        <v>186</v>
      </c>
      <c r="F5" s="4" t="s">
        <v>187</v>
      </c>
      <c r="G5" s="5" t="str">
        <f t="shared" si="1"/>
        <v>Compensar</v>
      </c>
    </row>
    <row r="6">
      <c r="A6" s="4" t="s">
        <v>193</v>
      </c>
      <c r="B6" s="4" t="s">
        <v>195</v>
      </c>
      <c r="C6" s="4" t="s">
        <v>198</v>
      </c>
      <c r="D6" s="4" t="s">
        <v>200</v>
      </c>
      <c r="E6" s="4" t="s">
        <v>204</v>
      </c>
      <c r="F6" s="4" t="s">
        <v>187</v>
      </c>
      <c r="G6" s="5" t="str">
        <f t="shared" si="1"/>
        <v>Compensar</v>
      </c>
    </row>
    <row r="7">
      <c r="A7" s="4" t="s">
        <v>158</v>
      </c>
      <c r="B7" s="4" t="s">
        <v>212</v>
      </c>
      <c r="C7" s="4" t="s">
        <v>215</v>
      </c>
      <c r="D7" s="4" t="s">
        <v>216</v>
      </c>
      <c r="E7" s="4" t="s">
        <v>221</v>
      </c>
      <c r="F7" s="4" t="s">
        <v>187</v>
      </c>
      <c r="G7" s="5" t="str">
        <f t="shared" si="1"/>
        <v>Compensar</v>
      </c>
    </row>
    <row r="8">
      <c r="A8" s="4" t="s">
        <v>169</v>
      </c>
      <c r="B8" s="4" t="s">
        <v>227</v>
      </c>
      <c r="C8" s="4" t="s">
        <v>229</v>
      </c>
      <c r="D8" s="4" t="s">
        <v>231</v>
      </c>
      <c r="E8" s="4" t="s">
        <v>234</v>
      </c>
      <c r="F8" s="4" t="s">
        <v>187</v>
      </c>
      <c r="G8" s="5" t="str">
        <f>HYPERLINK("https://salud.colsubsidio.com/vacunacion/vacunacion-complementaria", "Colsubsidio")</f>
        <v>Colsubsidio</v>
      </c>
    </row>
    <row r="9">
      <c r="A9" s="4" t="s">
        <v>237</v>
      </c>
      <c r="B9" s="4" t="s">
        <v>263</v>
      </c>
      <c r="C9" s="4" t="s">
        <v>265</v>
      </c>
      <c r="D9" s="4" t="s">
        <v>268</v>
      </c>
      <c r="E9" s="4" t="s">
        <v>270</v>
      </c>
      <c r="F9" s="4" t="s">
        <v>187</v>
      </c>
      <c r="G9" s="5" t="str">
        <f>HYPERLINK("https://corporativo.compensar.com/salud/Paginas/vacunacion/tarifas-vacunas-complementarias.aspx", "Compensar")</f>
        <v>Compensar</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6" width="19.0"/>
  </cols>
  <sheetData>
    <row r="1">
      <c r="A1" s="1" t="s">
        <v>0</v>
      </c>
      <c r="B1" s="1" t="s">
        <v>4</v>
      </c>
      <c r="C1" s="1" t="s">
        <v>7</v>
      </c>
      <c r="D1" s="1" t="s">
        <v>11</v>
      </c>
      <c r="E1" s="1" t="s">
        <v>14</v>
      </c>
      <c r="F1" s="1" t="s">
        <v>18</v>
      </c>
      <c r="G1" s="1" t="s">
        <v>23</v>
      </c>
      <c r="H1" s="1" t="s">
        <v>22</v>
      </c>
    </row>
    <row r="2">
      <c r="A2" s="4" t="s">
        <v>26</v>
      </c>
      <c r="B2" s="4" t="s">
        <v>33</v>
      </c>
      <c r="C2" s="4" t="s">
        <v>37</v>
      </c>
      <c r="D2" s="4" t="s">
        <v>40</v>
      </c>
      <c r="E2" s="4" t="s">
        <v>44</v>
      </c>
      <c r="F2" s="4" t="s">
        <v>49</v>
      </c>
      <c r="G2" s="4" t="s">
        <v>51</v>
      </c>
      <c r="H2" s="5" t="str">
        <f t="shared" ref="H2:H3" si="1">HYPERLINK("https://corporativo.compensar.com/salud/Paginas/vacunacion/tarifas-vacunas-complementarias.aspx", "Compensar")</f>
        <v>Compensar</v>
      </c>
    </row>
    <row r="3">
      <c r="A3" s="4" t="s">
        <v>69</v>
      </c>
      <c r="B3" s="4" t="s">
        <v>72</v>
      </c>
      <c r="C3" s="4" t="s">
        <v>73</v>
      </c>
      <c r="D3" s="4" t="s">
        <v>74</v>
      </c>
      <c r="E3" s="4" t="s">
        <v>77</v>
      </c>
      <c r="F3" s="4" t="s">
        <v>80</v>
      </c>
      <c r="G3" s="4" t="s">
        <v>83</v>
      </c>
      <c r="H3" s="5" t="str">
        <f t="shared" si="1"/>
        <v>Compensar</v>
      </c>
    </row>
    <row r="4">
      <c r="A4" s="4" t="s">
        <v>89</v>
      </c>
      <c r="B4" s="4" t="s">
        <v>91</v>
      </c>
      <c r="C4" s="4" t="s">
        <v>93</v>
      </c>
      <c r="D4" s="4" t="s">
        <v>95</v>
      </c>
      <c r="E4" s="4" t="s">
        <v>97</v>
      </c>
      <c r="F4" s="4" t="s">
        <v>98</v>
      </c>
      <c r="G4" s="4" t="s">
        <v>101</v>
      </c>
      <c r="H4" s="5" t="str">
        <f>HYPERLINK("https://salud.colsubsidio.com/vacunacion/vacunacion-complementaria", "Colsubsidio")</f>
        <v>Colsubsidio</v>
      </c>
    </row>
    <row r="5">
      <c r="A5" s="4" t="s">
        <v>122</v>
      </c>
      <c r="B5" s="4" t="s">
        <v>124</v>
      </c>
      <c r="C5" s="4" t="s">
        <v>125</v>
      </c>
      <c r="D5" s="4" t="s">
        <v>127</v>
      </c>
      <c r="E5" s="4" t="s">
        <v>128</v>
      </c>
      <c r="F5" s="4" t="s">
        <v>130</v>
      </c>
      <c r="G5" s="4" t="s">
        <v>132</v>
      </c>
      <c r="H5" s="5" t="str">
        <f t="shared" ref="H5:H7" si="2">HYPERLINK("https://corporativo.compensar.com/salud/Paginas/vacunacion/tarifas-vacunas-complementarias.aspx", "Compensar")</f>
        <v>Compensar</v>
      </c>
    </row>
    <row r="6">
      <c r="A6" s="4" t="s">
        <v>141</v>
      </c>
      <c r="B6" s="4" t="s">
        <v>143</v>
      </c>
      <c r="C6" s="4" t="s">
        <v>144</v>
      </c>
      <c r="D6" s="4" t="s">
        <v>147</v>
      </c>
      <c r="E6" s="4" t="s">
        <v>151</v>
      </c>
      <c r="F6" s="4" t="s">
        <v>154</v>
      </c>
      <c r="G6" s="4" t="s">
        <v>155</v>
      </c>
      <c r="H6" s="5" t="str">
        <f t="shared" si="2"/>
        <v>Compensar</v>
      </c>
    </row>
    <row r="7">
      <c r="A7" s="4" t="s">
        <v>158</v>
      </c>
      <c r="B7" s="4" t="s">
        <v>72</v>
      </c>
      <c r="C7" s="4" t="s">
        <v>125</v>
      </c>
      <c r="D7" s="4" t="s">
        <v>159</v>
      </c>
      <c r="E7" s="4" t="s">
        <v>161</v>
      </c>
      <c r="F7" s="4" t="s">
        <v>163</v>
      </c>
      <c r="G7" s="4" t="s">
        <v>166</v>
      </c>
      <c r="H7" s="5" t="str">
        <f t="shared" si="2"/>
        <v>Compensar</v>
      </c>
    </row>
    <row r="8">
      <c r="A8" s="4" t="s">
        <v>169</v>
      </c>
      <c r="B8" s="4" t="s">
        <v>170</v>
      </c>
      <c r="C8" s="4" t="s">
        <v>172</v>
      </c>
      <c r="D8" s="4" t="s">
        <v>174</v>
      </c>
      <c r="E8" s="4" t="s">
        <v>177</v>
      </c>
      <c r="F8" s="4" t="s">
        <v>178</v>
      </c>
      <c r="G8" s="4" t="s">
        <v>180</v>
      </c>
      <c r="H8" s="5" t="str">
        <f>HYPERLINK("https://salud.colsubsidio.com/vacunacion/vacunacion-complementaria", "Colsubsidio")</f>
        <v>Colsubsidio</v>
      </c>
    </row>
    <row r="9">
      <c r="A9" s="4" t="s">
        <v>214</v>
      </c>
      <c r="B9" s="4" t="s">
        <v>170</v>
      </c>
      <c r="C9" s="4" t="s">
        <v>217</v>
      </c>
      <c r="D9" s="4" t="s">
        <v>220</v>
      </c>
      <c r="E9" s="4" t="s">
        <v>223</v>
      </c>
      <c r="F9" s="4" t="s">
        <v>225</v>
      </c>
      <c r="G9" s="4" t="s">
        <v>226</v>
      </c>
      <c r="H9" s="5" t="str">
        <f t="shared" ref="H9:H11" si="3">HYPERLINK("https://corporativo.compensar.com/salud/Paginas/vacunacion/tarifas-vacunas-complementarias.aspx", "Compensar")</f>
        <v>Compensar</v>
      </c>
    </row>
    <row r="10">
      <c r="A10" s="4" t="s">
        <v>237</v>
      </c>
      <c r="B10" s="4" t="s">
        <v>143</v>
      </c>
      <c r="C10" s="4" t="s">
        <v>240</v>
      </c>
      <c r="D10" s="4" t="s">
        <v>147</v>
      </c>
      <c r="E10" s="4" t="s">
        <v>241</v>
      </c>
      <c r="F10" s="4" t="s">
        <v>154</v>
      </c>
      <c r="G10" s="4" t="s">
        <v>242</v>
      </c>
      <c r="H10" s="5" t="str">
        <f t="shared" si="3"/>
        <v>Compensar</v>
      </c>
    </row>
    <row r="11">
      <c r="A11" s="4" t="s">
        <v>249</v>
      </c>
      <c r="B11" s="4" t="s">
        <v>251</v>
      </c>
      <c r="C11" s="4" t="s">
        <v>252</v>
      </c>
      <c r="D11" s="4" t="s">
        <v>254</v>
      </c>
      <c r="E11" s="4" t="s">
        <v>256</v>
      </c>
      <c r="F11" s="4" t="s">
        <v>258</v>
      </c>
      <c r="G11" s="4" t="s">
        <v>259</v>
      </c>
      <c r="H11" s="5" t="str">
        <f t="shared" si="3"/>
        <v>Compensar</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25"/>
    <col customWidth="1" min="2" max="2" width="32.25"/>
    <col customWidth="1" min="3" max="3" width="23.38"/>
    <col customWidth="1" min="4" max="4" width="39.13"/>
    <col customWidth="1" min="5" max="5" width="27.5"/>
    <col customWidth="1" min="6" max="6" width="34.38"/>
    <col customWidth="1" min="7" max="7" width="43.25"/>
    <col customWidth="1" min="8" max="26" width="39.5"/>
  </cols>
  <sheetData>
    <row r="1">
      <c r="A1" s="2" t="s">
        <v>2</v>
      </c>
      <c r="B1" s="2" t="s">
        <v>6</v>
      </c>
      <c r="C1" s="2" t="s">
        <v>9</v>
      </c>
      <c r="D1" s="2" t="s">
        <v>12</v>
      </c>
      <c r="E1" s="2" t="s">
        <v>16</v>
      </c>
      <c r="F1" s="2" t="s">
        <v>19</v>
      </c>
      <c r="G1" s="2" t="s">
        <v>22</v>
      </c>
    </row>
    <row r="2">
      <c r="A2" s="3" t="s">
        <v>24</v>
      </c>
      <c r="B2" s="3" t="s">
        <v>27</v>
      </c>
      <c r="C2" s="3" t="s">
        <v>28</v>
      </c>
      <c r="D2" s="3" t="s">
        <v>29</v>
      </c>
      <c r="E2" s="3" t="s">
        <v>30</v>
      </c>
      <c r="F2" s="3" t="s">
        <v>32</v>
      </c>
      <c r="G2" s="3" t="s">
        <v>36</v>
      </c>
    </row>
    <row r="3">
      <c r="A3" s="3" t="s">
        <v>24</v>
      </c>
      <c r="B3" s="3" t="s">
        <v>42</v>
      </c>
      <c r="C3" s="3" t="s">
        <v>45</v>
      </c>
      <c r="D3" s="3" t="s">
        <v>48</v>
      </c>
      <c r="E3" s="3" t="s">
        <v>50</v>
      </c>
      <c r="F3" s="3" t="s">
        <v>52</v>
      </c>
      <c r="G3" s="3" t="s">
        <v>53</v>
      </c>
    </row>
    <row r="4">
      <c r="A4" s="3" t="s">
        <v>24</v>
      </c>
      <c r="B4" s="3" t="s">
        <v>54</v>
      </c>
      <c r="C4" s="3" t="s">
        <v>55</v>
      </c>
      <c r="D4" s="3" t="s">
        <v>56</v>
      </c>
      <c r="E4" s="3" t="s">
        <v>57</v>
      </c>
      <c r="F4" s="3" t="s">
        <v>58</v>
      </c>
      <c r="G4" s="3" t="s">
        <v>59</v>
      </c>
    </row>
    <row r="5">
      <c r="A5" s="3" t="s">
        <v>24</v>
      </c>
      <c r="B5" s="3" t="s">
        <v>60</v>
      </c>
      <c r="C5" s="3" t="s">
        <v>61</v>
      </c>
      <c r="D5" s="3" t="s">
        <v>62</v>
      </c>
      <c r="E5" s="3" t="s">
        <v>63</v>
      </c>
      <c r="F5" s="3" t="s">
        <v>64</v>
      </c>
      <c r="G5" s="3" t="s">
        <v>65</v>
      </c>
    </row>
    <row r="6">
      <c r="A6" s="3" t="s">
        <v>24</v>
      </c>
      <c r="B6" s="3" t="s">
        <v>66</v>
      </c>
      <c r="C6" s="3" t="s">
        <v>67</v>
      </c>
      <c r="D6" s="3" t="s">
        <v>68</v>
      </c>
      <c r="E6" s="3" t="s">
        <v>57</v>
      </c>
      <c r="F6" s="3" t="s">
        <v>70</v>
      </c>
      <c r="G6" s="3" t="s">
        <v>71</v>
      </c>
    </row>
    <row r="7">
      <c r="A7" s="3" t="s">
        <v>24</v>
      </c>
      <c r="B7" s="3" t="s">
        <v>76</v>
      </c>
      <c r="C7" s="3" t="s">
        <v>78</v>
      </c>
      <c r="D7" s="3" t="s">
        <v>81</v>
      </c>
      <c r="E7" s="3" t="s">
        <v>84</v>
      </c>
      <c r="F7" s="3" t="s">
        <v>85</v>
      </c>
      <c r="G7" s="3" t="s">
        <v>86</v>
      </c>
    </row>
    <row r="8">
      <c r="A8" s="3" t="s">
        <v>24</v>
      </c>
      <c r="B8" s="3" t="s">
        <v>87</v>
      </c>
      <c r="C8" s="3" t="s">
        <v>88</v>
      </c>
      <c r="D8" s="3" t="s">
        <v>90</v>
      </c>
      <c r="E8" s="3" t="s">
        <v>92</v>
      </c>
      <c r="F8" s="3" t="s">
        <v>94</v>
      </c>
      <c r="G8" s="3" t="s">
        <v>96</v>
      </c>
    </row>
    <row r="9">
      <c r="A9" s="3" t="s">
        <v>24</v>
      </c>
      <c r="B9" s="3" t="s">
        <v>99</v>
      </c>
      <c r="C9" s="3" t="s">
        <v>102</v>
      </c>
      <c r="D9" s="3" t="s">
        <v>104</v>
      </c>
      <c r="E9" s="3" t="s">
        <v>106</v>
      </c>
      <c r="F9" s="3" t="s">
        <v>109</v>
      </c>
      <c r="G9" s="3" t="s">
        <v>111</v>
      </c>
    </row>
    <row r="10">
      <c r="A10" s="3" t="s">
        <v>24</v>
      </c>
      <c r="B10" s="3" t="s">
        <v>113</v>
      </c>
      <c r="C10" s="3" t="s">
        <v>115</v>
      </c>
      <c r="D10" s="3" t="s">
        <v>116</v>
      </c>
      <c r="E10" s="3" t="s">
        <v>117</v>
      </c>
      <c r="F10" s="3" t="s">
        <v>118</v>
      </c>
      <c r="G10" s="3" t="s">
        <v>119</v>
      </c>
    </row>
    <row r="11">
      <c r="A11" s="3" t="s">
        <v>120</v>
      </c>
      <c r="B11" s="3" t="s">
        <v>121</v>
      </c>
      <c r="C11" s="3" t="s">
        <v>123</v>
      </c>
      <c r="D11" s="3" t="s">
        <v>126</v>
      </c>
      <c r="E11" s="3" t="s">
        <v>129</v>
      </c>
      <c r="F11" s="3" t="s">
        <v>133</v>
      </c>
      <c r="G11" s="3" t="s">
        <v>134</v>
      </c>
    </row>
    <row r="12">
      <c r="A12" s="3" t="s">
        <v>120</v>
      </c>
      <c r="B12" s="3" t="s">
        <v>54</v>
      </c>
      <c r="C12" s="3" t="s">
        <v>136</v>
      </c>
      <c r="D12" s="3" t="s">
        <v>137</v>
      </c>
      <c r="E12" s="3" t="s">
        <v>138</v>
      </c>
      <c r="F12" s="3" t="s">
        <v>139</v>
      </c>
      <c r="G12" s="3" t="s">
        <v>59</v>
      </c>
    </row>
    <row r="13">
      <c r="A13" s="3" t="s">
        <v>120</v>
      </c>
      <c r="B13" s="3" t="s">
        <v>42</v>
      </c>
      <c r="C13" s="3" t="s">
        <v>149</v>
      </c>
      <c r="D13" s="3" t="s">
        <v>153</v>
      </c>
      <c r="E13" s="3" t="s">
        <v>156</v>
      </c>
      <c r="F13" s="3" t="s">
        <v>157</v>
      </c>
      <c r="G13" s="3" t="s">
        <v>53</v>
      </c>
    </row>
    <row r="14">
      <c r="A14" s="3" t="s">
        <v>120</v>
      </c>
      <c r="B14" s="3" t="s">
        <v>87</v>
      </c>
      <c r="C14" s="3" t="s">
        <v>160</v>
      </c>
      <c r="D14" s="3" t="s">
        <v>162</v>
      </c>
      <c r="E14" s="3" t="s">
        <v>165</v>
      </c>
      <c r="F14" s="3" t="s">
        <v>167</v>
      </c>
      <c r="G14" s="3" t="s">
        <v>96</v>
      </c>
    </row>
    <row r="15">
      <c r="A15" s="3" t="s">
        <v>120</v>
      </c>
      <c r="B15" s="3" t="s">
        <v>76</v>
      </c>
      <c r="C15" s="3" t="s">
        <v>171</v>
      </c>
      <c r="D15" s="3" t="s">
        <v>173</v>
      </c>
      <c r="E15" s="3" t="s">
        <v>175</v>
      </c>
      <c r="F15" s="3" t="s">
        <v>176</v>
      </c>
      <c r="G15" s="3" t="s">
        <v>86</v>
      </c>
    </row>
    <row r="16">
      <c r="A16" s="3" t="s">
        <v>120</v>
      </c>
      <c r="B16" s="3" t="s">
        <v>188</v>
      </c>
      <c r="C16" s="3" t="s">
        <v>189</v>
      </c>
      <c r="D16" s="3" t="s">
        <v>190</v>
      </c>
      <c r="E16" s="3" t="s">
        <v>191</v>
      </c>
      <c r="F16" s="3" t="s">
        <v>192</v>
      </c>
      <c r="G16" s="3" t="s">
        <v>194</v>
      </c>
    </row>
    <row r="17">
      <c r="A17" s="3" t="s">
        <v>197</v>
      </c>
      <c r="B17" s="3" t="s">
        <v>199</v>
      </c>
      <c r="C17" s="3" t="s">
        <v>201</v>
      </c>
      <c r="D17" s="3" t="s">
        <v>203</v>
      </c>
      <c r="E17" s="3" t="s">
        <v>205</v>
      </c>
      <c r="F17" s="3" t="s">
        <v>206</v>
      </c>
      <c r="G17" s="3" t="s">
        <v>207</v>
      </c>
    </row>
    <row r="18">
      <c r="A18" s="3" t="s">
        <v>197</v>
      </c>
      <c r="B18" s="3" t="s">
        <v>54</v>
      </c>
      <c r="C18" s="3" t="s">
        <v>208</v>
      </c>
      <c r="D18" s="3" t="s">
        <v>209</v>
      </c>
      <c r="E18" s="3" t="s">
        <v>210</v>
      </c>
      <c r="F18" s="3" t="s">
        <v>211</v>
      </c>
      <c r="G18" s="3" t="s">
        <v>59</v>
      </c>
    </row>
    <row r="19">
      <c r="A19" s="3" t="s">
        <v>197</v>
      </c>
      <c r="B19" s="3" t="s">
        <v>42</v>
      </c>
      <c r="C19" s="3" t="s">
        <v>149</v>
      </c>
      <c r="D19" s="3" t="s">
        <v>218</v>
      </c>
      <c r="E19" s="3" t="s">
        <v>222</v>
      </c>
      <c r="F19" s="3" t="s">
        <v>224</v>
      </c>
      <c r="G19" s="3" t="s">
        <v>53</v>
      </c>
    </row>
    <row r="20">
      <c r="A20" s="6" t="s">
        <v>197</v>
      </c>
      <c r="B20" s="6" t="s">
        <v>230</v>
      </c>
      <c r="C20" s="6" t="s">
        <v>233</v>
      </c>
      <c r="D20" s="6" t="s">
        <v>235</v>
      </c>
      <c r="E20" s="6" t="s">
        <v>236</v>
      </c>
      <c r="F20" s="6" t="s">
        <v>238</v>
      </c>
      <c r="G20" s="6" t="s">
        <v>239</v>
      </c>
    </row>
    <row r="21">
      <c r="A21" s="6" t="s">
        <v>197</v>
      </c>
      <c r="B21" s="6" t="s">
        <v>87</v>
      </c>
      <c r="C21" s="6" t="s">
        <v>244</v>
      </c>
      <c r="D21" s="6" t="s">
        <v>245</v>
      </c>
      <c r="E21" s="6" t="s">
        <v>247</v>
      </c>
      <c r="F21" s="6" t="s">
        <v>248</v>
      </c>
      <c r="G21" s="6" t="s">
        <v>96</v>
      </c>
    </row>
    <row r="22">
      <c r="A22" s="6" t="s">
        <v>197</v>
      </c>
      <c r="B22" s="6" t="s">
        <v>253</v>
      </c>
      <c r="C22" s="6" t="s">
        <v>255</v>
      </c>
      <c r="D22" s="6" t="s">
        <v>257</v>
      </c>
      <c r="E22" s="6" t="s">
        <v>191</v>
      </c>
      <c r="F22" s="6" t="s">
        <v>260</v>
      </c>
      <c r="G22" s="6" t="s">
        <v>261</v>
      </c>
    </row>
    <row r="23">
      <c r="A23" s="6" t="s">
        <v>197</v>
      </c>
      <c r="B23" s="6" t="s">
        <v>262</v>
      </c>
      <c r="C23" s="6" t="s">
        <v>264</v>
      </c>
      <c r="D23" s="6" t="s">
        <v>266</v>
      </c>
      <c r="E23" s="6" t="s">
        <v>267</v>
      </c>
      <c r="F23" s="6" t="s">
        <v>269</v>
      </c>
      <c r="G23" s="6" t="s">
        <v>271</v>
      </c>
    </row>
    <row r="24">
      <c r="A24" s="6" t="s">
        <v>273</v>
      </c>
      <c r="B24" s="6" t="s">
        <v>274</v>
      </c>
      <c r="C24" s="6" t="s">
        <v>275</v>
      </c>
      <c r="D24" s="6" t="s">
        <v>277</v>
      </c>
      <c r="E24" s="6" t="s">
        <v>278</v>
      </c>
      <c r="F24" s="6" t="s">
        <v>279</v>
      </c>
      <c r="G24" s="6" t="s">
        <v>280</v>
      </c>
    </row>
    <row r="25">
      <c r="A25" s="6" t="s">
        <v>273</v>
      </c>
      <c r="B25" s="6" t="s">
        <v>42</v>
      </c>
      <c r="C25" s="6" t="s">
        <v>149</v>
      </c>
      <c r="D25" s="6" t="s">
        <v>281</v>
      </c>
      <c r="E25" s="6" t="s">
        <v>222</v>
      </c>
      <c r="F25" s="6" t="s">
        <v>282</v>
      </c>
      <c r="G25" s="6" t="s">
        <v>53</v>
      </c>
    </row>
    <row r="26">
      <c r="A26" s="6" t="s">
        <v>273</v>
      </c>
      <c r="B26" s="6" t="s">
        <v>54</v>
      </c>
      <c r="C26" s="6" t="s">
        <v>208</v>
      </c>
      <c r="D26" s="6" t="s">
        <v>285</v>
      </c>
      <c r="E26" s="6" t="s">
        <v>57</v>
      </c>
      <c r="F26" s="6" t="s">
        <v>286</v>
      </c>
      <c r="G26" s="6" t="s">
        <v>59</v>
      </c>
    </row>
    <row r="27">
      <c r="A27" s="6" t="s">
        <v>273</v>
      </c>
      <c r="B27" s="6" t="s">
        <v>87</v>
      </c>
      <c r="C27" s="6" t="s">
        <v>287</v>
      </c>
      <c r="D27" s="6" t="s">
        <v>289</v>
      </c>
      <c r="E27" s="6" t="s">
        <v>290</v>
      </c>
      <c r="F27" s="6" t="s">
        <v>292</v>
      </c>
      <c r="G27" s="6" t="s">
        <v>96</v>
      </c>
    </row>
    <row r="28">
      <c r="A28" s="6" t="s">
        <v>273</v>
      </c>
      <c r="B28" s="6" t="s">
        <v>293</v>
      </c>
      <c r="C28" s="6" t="s">
        <v>294</v>
      </c>
      <c r="D28" s="6" t="s">
        <v>295</v>
      </c>
      <c r="E28" s="6" t="s">
        <v>296</v>
      </c>
      <c r="F28" s="6" t="s">
        <v>297</v>
      </c>
      <c r="G28" s="6" t="s">
        <v>298</v>
      </c>
    </row>
    <row r="29">
      <c r="A29" s="6" t="s">
        <v>273</v>
      </c>
      <c r="B29" s="6" t="s">
        <v>299</v>
      </c>
      <c r="C29" s="6" t="s">
        <v>300</v>
      </c>
      <c r="D29" s="6" t="s">
        <v>301</v>
      </c>
      <c r="E29" s="6" t="s">
        <v>191</v>
      </c>
      <c r="F29" s="6" t="s">
        <v>302</v>
      </c>
      <c r="G29" s="6" t="s">
        <v>303</v>
      </c>
    </row>
    <row r="30">
      <c r="A30" s="6" t="s">
        <v>273</v>
      </c>
      <c r="B30" s="6" t="s">
        <v>304</v>
      </c>
      <c r="C30" s="6" t="s">
        <v>305</v>
      </c>
      <c r="D30" s="6" t="s">
        <v>306</v>
      </c>
      <c r="E30" s="6" t="s">
        <v>307</v>
      </c>
      <c r="F30" s="6" t="s">
        <v>308</v>
      </c>
      <c r="G30" s="6" t="s">
        <v>309</v>
      </c>
    </row>
    <row r="31">
      <c r="A31" s="6" t="s">
        <v>310</v>
      </c>
      <c r="B31" s="6" t="s">
        <v>311</v>
      </c>
      <c r="C31" s="6" t="s">
        <v>313</v>
      </c>
      <c r="D31" s="6" t="s">
        <v>314</v>
      </c>
      <c r="E31" s="6" t="s">
        <v>315</v>
      </c>
      <c r="F31" s="6" t="s">
        <v>316</v>
      </c>
      <c r="G31" s="6" t="s">
        <v>317</v>
      </c>
    </row>
    <row r="32">
      <c r="A32" s="6" t="s">
        <v>310</v>
      </c>
      <c r="B32" s="6" t="s">
        <v>42</v>
      </c>
      <c r="C32" s="6" t="s">
        <v>149</v>
      </c>
      <c r="D32" s="6" t="s">
        <v>318</v>
      </c>
      <c r="E32" s="6" t="s">
        <v>222</v>
      </c>
      <c r="F32" s="6" t="s">
        <v>224</v>
      </c>
      <c r="G32" s="6" t="s">
        <v>53</v>
      </c>
    </row>
    <row r="33">
      <c r="A33" s="6" t="s">
        <v>310</v>
      </c>
      <c r="B33" s="6" t="s">
        <v>54</v>
      </c>
      <c r="C33" s="6" t="s">
        <v>320</v>
      </c>
      <c r="D33" s="6" t="s">
        <v>321</v>
      </c>
      <c r="E33" s="6" t="s">
        <v>222</v>
      </c>
      <c r="F33" s="6" t="s">
        <v>324</v>
      </c>
      <c r="G33" s="6" t="s">
        <v>59</v>
      </c>
    </row>
    <row r="34">
      <c r="A34" s="6" t="s">
        <v>310</v>
      </c>
      <c r="B34" s="6" t="s">
        <v>87</v>
      </c>
      <c r="C34" s="6" t="s">
        <v>88</v>
      </c>
      <c r="D34" s="6" t="s">
        <v>326</v>
      </c>
      <c r="E34" s="6" t="s">
        <v>222</v>
      </c>
      <c r="F34" s="6" t="s">
        <v>327</v>
      </c>
      <c r="G34" s="6" t="s">
        <v>96</v>
      </c>
    </row>
    <row r="35">
      <c r="A35" s="6" t="s">
        <v>310</v>
      </c>
      <c r="B35" s="6" t="s">
        <v>76</v>
      </c>
      <c r="C35" s="6" t="s">
        <v>330</v>
      </c>
      <c r="D35" s="6" t="s">
        <v>331</v>
      </c>
      <c r="E35" s="6" t="s">
        <v>332</v>
      </c>
      <c r="F35" s="6" t="s">
        <v>333</v>
      </c>
      <c r="G35" s="6" t="s">
        <v>86</v>
      </c>
    </row>
    <row r="36">
      <c r="A36" s="6" t="s">
        <v>310</v>
      </c>
      <c r="B36" s="6" t="s">
        <v>335</v>
      </c>
      <c r="C36" s="6" t="s">
        <v>294</v>
      </c>
      <c r="D36" s="6" t="s">
        <v>336</v>
      </c>
      <c r="E36" s="6" t="s">
        <v>338</v>
      </c>
      <c r="F36" s="6" t="s">
        <v>339</v>
      </c>
      <c r="G36" s="6" t="s">
        <v>340</v>
      </c>
    </row>
    <row r="37">
      <c r="A37" s="6" t="s">
        <v>310</v>
      </c>
      <c r="B37" s="6" t="s">
        <v>341</v>
      </c>
      <c r="C37" s="6" t="s">
        <v>342</v>
      </c>
      <c r="D37" s="6" t="s">
        <v>344</v>
      </c>
      <c r="E37" s="6" t="s">
        <v>191</v>
      </c>
      <c r="F37" s="6" t="s">
        <v>345</v>
      </c>
      <c r="G37" s="6" t="s">
        <v>346</v>
      </c>
    </row>
    <row r="38">
      <c r="A38" s="6" t="s">
        <v>310</v>
      </c>
      <c r="B38" s="6" t="s">
        <v>347</v>
      </c>
      <c r="C38" s="6" t="s">
        <v>348</v>
      </c>
      <c r="D38" s="6" t="s">
        <v>349</v>
      </c>
      <c r="E38" s="6" t="s">
        <v>351</v>
      </c>
      <c r="F38" s="6" t="s">
        <v>352</v>
      </c>
      <c r="G38" s="6" t="s">
        <v>353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25"/>
    <col customWidth="1" min="2" max="3" width="57.75"/>
    <col customWidth="1" min="4" max="4" width="43.75"/>
    <col customWidth="1" min="5" max="5" width="12.13"/>
    <col customWidth="1" min="6" max="26" width="57.75"/>
  </cols>
  <sheetData>
    <row r="1">
      <c r="A1" s="1" t="s">
        <v>376</v>
      </c>
      <c r="B1" s="1" t="s">
        <v>377</v>
      </c>
      <c r="C1" s="1" t="s">
        <v>378</v>
      </c>
      <c r="D1" s="1" t="s">
        <v>379</v>
      </c>
      <c r="E1" s="1" t="s">
        <v>22</v>
      </c>
    </row>
    <row r="2">
      <c r="A2" s="4" t="s">
        <v>380</v>
      </c>
      <c r="B2" s="4" t="s">
        <v>381</v>
      </c>
      <c r="C2" s="4" t="s">
        <v>382</v>
      </c>
      <c r="D2" s="4" t="s">
        <v>383</v>
      </c>
      <c r="E2" s="5" t="str">
        <f>HYPERLINK("https://vacunacion.minsalud.gov.co/", "MinSalud")</f>
        <v>MinSalud</v>
      </c>
    </row>
    <row r="3">
      <c r="A3" s="4" t="s">
        <v>384</v>
      </c>
      <c r="B3" s="4" t="s">
        <v>385</v>
      </c>
      <c r="C3" s="4" t="s">
        <v>386</v>
      </c>
      <c r="D3" s="4" t="s">
        <v>387</v>
      </c>
      <c r="E3" s="5" t="str">
        <f>HYPERLINK("https://scp.com.co/", "SCP")</f>
        <v>SCP</v>
      </c>
    </row>
    <row r="4">
      <c r="A4" s="4" t="s">
        <v>388</v>
      </c>
      <c r="B4" s="4" t="s">
        <v>389</v>
      </c>
      <c r="C4" s="4" t="s">
        <v>390</v>
      </c>
      <c r="D4" s="4" t="s">
        <v>391</v>
      </c>
      <c r="E4" s="5" t="str">
        <f t="shared" ref="E4:E6" si="1">HYPERLINK("https://vacunacion.minsalud.gov.co/", "MinSalud")</f>
        <v>MinSalud</v>
      </c>
    </row>
    <row r="5">
      <c r="A5" s="4" t="s">
        <v>392</v>
      </c>
      <c r="B5" s="4" t="s">
        <v>393</v>
      </c>
      <c r="C5" s="4" t="s">
        <v>394</v>
      </c>
      <c r="D5" s="4" t="s">
        <v>395</v>
      </c>
      <c r="E5" s="5" t="str">
        <f t="shared" si="1"/>
        <v>MinSalud</v>
      </c>
    </row>
    <row r="6">
      <c r="A6" s="4" t="s">
        <v>396</v>
      </c>
      <c r="B6" s="4" t="s">
        <v>397</v>
      </c>
      <c r="C6" s="4" t="s">
        <v>398</v>
      </c>
      <c r="D6" s="4" t="s">
        <v>399</v>
      </c>
      <c r="E6" s="5" t="str">
        <f t="shared" si="1"/>
        <v>MinSalud</v>
      </c>
    </row>
    <row r="7">
      <c r="A7" s="4" t="s">
        <v>400</v>
      </c>
      <c r="B7" s="4" t="s">
        <v>401</v>
      </c>
      <c r="C7" s="4" t="s">
        <v>402</v>
      </c>
      <c r="D7" s="4" t="s">
        <v>403</v>
      </c>
      <c r="E7" s="5" t="str">
        <f>HYPERLINK("https://www.segurossura.com.co/", "SURA")</f>
        <v>SURA</v>
      </c>
    </row>
    <row r="8">
      <c r="A8" s="4" t="s">
        <v>404</v>
      </c>
      <c r="B8" s="4" t="s">
        <v>405</v>
      </c>
      <c r="C8" s="4" t="s">
        <v>406</v>
      </c>
      <c r="D8" s="4" t="s">
        <v>407</v>
      </c>
      <c r="E8" s="5" t="str">
        <f>HYPERLINK("https://vacunacion.minsalud.gov.co/Vacunas/Paginas/registro-de-la-vacunacion.aspx", "MinSalud")</f>
        <v>MinSalud</v>
      </c>
    </row>
    <row r="9">
      <c r="A9" s="4" t="s">
        <v>408</v>
      </c>
      <c r="B9" s="4" t="s">
        <v>409</v>
      </c>
      <c r="C9" s="4" t="s">
        <v>410</v>
      </c>
      <c r="D9" s="4" t="s">
        <v>411</v>
      </c>
      <c r="E9" s="5" t="str">
        <f t="shared" ref="E9:E10" si="2">HYPERLINK("https://vacunacion.minsalud.gov.co/", "MinSalud")</f>
        <v>MinSalud</v>
      </c>
    </row>
    <row r="10">
      <c r="A10" s="4" t="s">
        <v>412</v>
      </c>
      <c r="B10" s="4" t="s">
        <v>413</v>
      </c>
      <c r="C10" s="4" t="s">
        <v>414</v>
      </c>
      <c r="D10" s="4" t="s">
        <v>415</v>
      </c>
      <c r="E10" s="5" t="str">
        <f t="shared" si="2"/>
        <v>MinSalud</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 customWidth="1" min="2" max="3" width="27.63"/>
    <col customWidth="1" min="4" max="5" width="35.13"/>
    <col customWidth="1" min="6" max="6" width="22.63"/>
  </cols>
  <sheetData>
    <row r="1">
      <c r="A1" s="7" t="s">
        <v>416</v>
      </c>
      <c r="B1" s="7" t="s">
        <v>417</v>
      </c>
      <c r="C1" s="7" t="s">
        <v>418</v>
      </c>
      <c r="D1" s="7" t="s">
        <v>419</v>
      </c>
      <c r="E1" s="7" t="s">
        <v>420</v>
      </c>
      <c r="F1" s="7" t="s">
        <v>22</v>
      </c>
    </row>
    <row r="2">
      <c r="A2" s="8" t="s">
        <v>42</v>
      </c>
      <c r="B2" s="8" t="s">
        <v>421</v>
      </c>
      <c r="C2" s="8" t="s">
        <v>422</v>
      </c>
      <c r="D2" s="8" t="s">
        <v>423</v>
      </c>
      <c r="E2" s="8" t="s">
        <v>424</v>
      </c>
      <c r="F2" s="8" t="s">
        <v>425</v>
      </c>
    </row>
    <row r="3">
      <c r="A3" s="8" t="s">
        <v>54</v>
      </c>
      <c r="B3" s="8" t="s">
        <v>426</v>
      </c>
      <c r="C3" s="8" t="s">
        <v>427</v>
      </c>
      <c r="D3" s="8" t="s">
        <v>428</v>
      </c>
      <c r="E3" s="8" t="s">
        <v>429</v>
      </c>
      <c r="F3" s="8" t="s">
        <v>59</v>
      </c>
    </row>
    <row r="4">
      <c r="A4" s="8" t="s">
        <v>60</v>
      </c>
      <c r="B4" s="8" t="s">
        <v>430</v>
      </c>
      <c r="C4" s="8" t="s">
        <v>431</v>
      </c>
      <c r="D4" s="8" t="s">
        <v>433</v>
      </c>
      <c r="E4" s="8" t="s">
        <v>434</v>
      </c>
      <c r="F4" s="8" t="s">
        <v>65</v>
      </c>
    </row>
    <row r="5">
      <c r="A5" s="8" t="s">
        <v>66</v>
      </c>
      <c r="B5" s="8" t="s">
        <v>435</v>
      </c>
      <c r="C5" s="8" t="s">
        <v>436</v>
      </c>
      <c r="D5" s="8" t="s">
        <v>437</v>
      </c>
      <c r="E5" s="8" t="s">
        <v>438</v>
      </c>
      <c r="F5" s="8" t="s">
        <v>440</v>
      </c>
    </row>
    <row r="6">
      <c r="A6" s="10" t="s">
        <v>76</v>
      </c>
      <c r="B6" s="10" t="s">
        <v>441</v>
      </c>
      <c r="C6" s="10" t="s">
        <v>442</v>
      </c>
      <c r="D6" s="10" t="s">
        <v>443</v>
      </c>
      <c r="E6" s="10" t="s">
        <v>444</v>
      </c>
      <c r="F6" s="10" t="s">
        <v>86</v>
      </c>
    </row>
    <row r="7">
      <c r="A7" s="11" t="s">
        <v>87</v>
      </c>
      <c r="B7" s="11" t="s">
        <v>445</v>
      </c>
      <c r="C7" s="11" t="s">
        <v>446</v>
      </c>
      <c r="D7" s="11" t="s">
        <v>447</v>
      </c>
      <c r="E7" s="11" t="s">
        <v>448</v>
      </c>
      <c r="F7" s="11" t="s">
        <v>96</v>
      </c>
    </row>
    <row r="8">
      <c r="A8" s="11" t="s">
        <v>449</v>
      </c>
      <c r="B8" s="11" t="s">
        <v>28</v>
      </c>
      <c r="C8" s="11" t="s">
        <v>30</v>
      </c>
      <c r="D8" s="11" t="s">
        <v>450</v>
      </c>
      <c r="E8" s="11" t="s">
        <v>32</v>
      </c>
      <c r="F8" s="15" t="s">
        <v>36</v>
      </c>
    </row>
    <row r="9">
      <c r="A9" s="11" t="s">
        <v>121</v>
      </c>
      <c r="B9" s="11" t="s">
        <v>465</v>
      </c>
      <c r="C9" s="11" t="s">
        <v>129</v>
      </c>
      <c r="D9" s="11" t="s">
        <v>466</v>
      </c>
      <c r="E9" s="11" t="s">
        <v>133</v>
      </c>
      <c r="F9" s="15" t="s">
        <v>134</v>
      </c>
    </row>
    <row r="10">
      <c r="A10" s="11" t="s">
        <v>199</v>
      </c>
      <c r="B10" s="11" t="s">
        <v>472</v>
      </c>
      <c r="C10" s="11" t="s">
        <v>205</v>
      </c>
      <c r="D10" s="11" t="s">
        <v>474</v>
      </c>
      <c r="E10" s="11" t="s">
        <v>206</v>
      </c>
      <c r="F10" s="15" t="s">
        <v>207</v>
      </c>
    </row>
    <row r="11">
      <c r="A11" s="11" t="s">
        <v>274</v>
      </c>
      <c r="B11" s="11" t="s">
        <v>275</v>
      </c>
      <c r="C11" s="11" t="s">
        <v>278</v>
      </c>
      <c r="D11" s="11" t="s">
        <v>482</v>
      </c>
      <c r="E11" s="11" t="s">
        <v>279</v>
      </c>
      <c r="F11" s="15" t="s">
        <v>280</v>
      </c>
    </row>
    <row r="13">
      <c r="A13" s="7" t="s">
        <v>501</v>
      </c>
      <c r="B13" s="7" t="s">
        <v>503</v>
      </c>
      <c r="C13" s="7" t="s">
        <v>505</v>
      </c>
      <c r="D13" s="7" t="s">
        <v>507</v>
      </c>
      <c r="E13" s="7" t="s">
        <v>509</v>
      </c>
      <c r="F13" s="7" t="s">
        <v>22</v>
      </c>
    </row>
    <row r="14">
      <c r="A14" s="8" t="s">
        <v>511</v>
      </c>
      <c r="B14" s="8" t="s">
        <v>513</v>
      </c>
      <c r="C14" s="8" t="s">
        <v>515</v>
      </c>
      <c r="D14" s="8" t="s">
        <v>517</v>
      </c>
      <c r="E14" s="8" t="s">
        <v>518</v>
      </c>
      <c r="F14" s="8" t="s">
        <v>317</v>
      </c>
    </row>
    <row r="15">
      <c r="A15" s="8" t="s">
        <v>521</v>
      </c>
      <c r="B15" s="8" t="s">
        <v>513</v>
      </c>
      <c r="C15" s="8" t="s">
        <v>523</v>
      </c>
      <c r="D15" s="8" t="s">
        <v>525</v>
      </c>
      <c r="E15" s="8" t="s">
        <v>526</v>
      </c>
      <c r="F15" s="8" t="s">
        <v>317</v>
      </c>
    </row>
    <row r="16">
      <c r="A16" s="8" t="s">
        <v>529</v>
      </c>
      <c r="B16" s="8" t="s">
        <v>530</v>
      </c>
      <c r="C16" s="8" t="s">
        <v>532</v>
      </c>
      <c r="D16" s="8" t="s">
        <v>534</v>
      </c>
      <c r="E16" s="8" t="s">
        <v>536</v>
      </c>
      <c r="F16" s="8" t="s">
        <v>537</v>
      </c>
    </row>
    <row r="17">
      <c r="A17" s="8" t="s">
        <v>539</v>
      </c>
      <c r="B17" s="8" t="s">
        <v>541</v>
      </c>
      <c r="C17" s="8" t="s">
        <v>543</v>
      </c>
      <c r="D17" s="8" t="s">
        <v>545</v>
      </c>
      <c r="E17" s="8" t="s">
        <v>546</v>
      </c>
      <c r="F17" s="8" t="s">
        <v>548</v>
      </c>
    </row>
  </sheetData>
  <hyperlinks>
    <hyperlink r:id="rId1" ref="F8"/>
    <hyperlink r:id="rId2" ref="F9"/>
    <hyperlink r:id="rId3" ref="F10"/>
    <hyperlink r:id="rId4" ref="F11"/>
  </hyperlinks>
  <drawing r:id="rId5"/>
  <tableParts count="2">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25"/>
    <col customWidth="1" min="2" max="2" width="60.75"/>
    <col customWidth="1" min="3" max="3" width="15.88"/>
    <col customWidth="1" min="4" max="4" width="17.75"/>
    <col customWidth="1" min="5" max="5" width="25.0"/>
    <col customWidth="1" min="6" max="6" width="27.38"/>
    <col customWidth="1" min="7" max="7" width="5.25"/>
    <col customWidth="1" min="8" max="8" width="22.25"/>
    <col customWidth="1" min="9" max="9" width="19.0"/>
    <col customWidth="1" min="10" max="10" width="16.75"/>
  </cols>
  <sheetData>
    <row r="1">
      <c r="A1" s="9" t="s">
        <v>432</v>
      </c>
    </row>
    <row r="2">
      <c r="A2" s="9" t="s">
        <v>439</v>
      </c>
      <c r="B2" s="12">
        <f>DATE(2026,7,23)</f>
        <v>46226</v>
      </c>
    </row>
    <row r="4">
      <c r="A4" s="13" t="s">
        <v>451</v>
      </c>
      <c r="B4" s="13" t="s">
        <v>452</v>
      </c>
      <c r="C4" s="13" t="s">
        <v>453</v>
      </c>
      <c r="D4" s="13" t="s">
        <v>454</v>
      </c>
      <c r="E4" s="13" t="s">
        <v>455</v>
      </c>
      <c r="F4" s="13" t="s">
        <v>456</v>
      </c>
      <c r="G4" s="13" t="s">
        <v>457</v>
      </c>
      <c r="H4" s="13" t="s">
        <v>458</v>
      </c>
      <c r="I4" s="13" t="s">
        <v>459</v>
      </c>
      <c r="J4" s="13" t="s">
        <v>460</v>
      </c>
    </row>
    <row r="5">
      <c r="A5" s="14" t="s">
        <v>25</v>
      </c>
      <c r="B5" s="14" t="s">
        <v>462</v>
      </c>
      <c r="C5" s="16">
        <f>$B$2</f>
        <v>46226</v>
      </c>
      <c r="D5" s="14" t="b">
        <v>0</v>
      </c>
      <c r="E5" s="18"/>
      <c r="F5" s="14" t="s">
        <v>469</v>
      </c>
      <c r="G5" s="18"/>
      <c r="H5" s="14" t="s">
        <v>471</v>
      </c>
      <c r="I5" s="14" t="b">
        <v>0</v>
      </c>
      <c r="J5" s="18"/>
    </row>
    <row r="6">
      <c r="A6" s="14" t="s">
        <v>105</v>
      </c>
      <c r="B6" s="14" t="s">
        <v>476</v>
      </c>
      <c r="C6" s="19">
        <f>EDATE($B$2, 2)</f>
        <v>46288</v>
      </c>
      <c r="D6" s="14" t="b">
        <v>0</v>
      </c>
      <c r="E6" s="18"/>
      <c r="F6" s="14" t="s">
        <v>488</v>
      </c>
      <c r="G6" s="18"/>
      <c r="H6" s="18"/>
      <c r="I6" s="14" t="b">
        <v>0</v>
      </c>
      <c r="J6" s="18"/>
    </row>
    <row r="7">
      <c r="A7" s="14" t="s">
        <v>179</v>
      </c>
      <c r="B7" s="14" t="s">
        <v>476</v>
      </c>
      <c r="C7" s="19">
        <f>EDATE($B$2, 4)</f>
        <v>46349</v>
      </c>
      <c r="D7" s="14" t="b">
        <v>0</v>
      </c>
      <c r="E7" s="18"/>
      <c r="F7" s="14" t="s">
        <v>488</v>
      </c>
      <c r="G7" s="18"/>
      <c r="H7" s="18"/>
      <c r="I7" s="14" t="b">
        <v>0</v>
      </c>
      <c r="J7" s="18"/>
    </row>
    <row r="8">
      <c r="A8" s="14" t="s">
        <v>243</v>
      </c>
      <c r="B8" s="14" t="s">
        <v>533</v>
      </c>
      <c r="C8" s="19">
        <f>EDATE($B$2, 6)</f>
        <v>46410</v>
      </c>
      <c r="D8" s="14" t="b">
        <v>0</v>
      </c>
      <c r="E8" s="18"/>
      <c r="F8" s="14" t="s">
        <v>560</v>
      </c>
      <c r="G8" s="18"/>
      <c r="H8" s="18"/>
      <c r="I8" s="14" t="b">
        <v>0</v>
      </c>
      <c r="J8" s="18"/>
    </row>
    <row r="9">
      <c r="A9" s="14" t="s">
        <v>288</v>
      </c>
      <c r="B9" s="14" t="s">
        <v>567</v>
      </c>
      <c r="C9" s="19">
        <f>EDATE($B$2, 7)</f>
        <v>46441</v>
      </c>
      <c r="D9" s="14" t="b">
        <v>0</v>
      </c>
      <c r="E9" s="18"/>
      <c r="F9" s="14" t="s">
        <v>574</v>
      </c>
      <c r="G9" s="18"/>
      <c r="H9" s="18"/>
      <c r="I9" s="14" t="b">
        <v>0</v>
      </c>
      <c r="J9" s="18"/>
    </row>
    <row r="10">
      <c r="A10" s="14" t="s">
        <v>319</v>
      </c>
      <c r="B10" s="14" t="s">
        <v>576</v>
      </c>
      <c r="C10" s="19">
        <f>EDATE($B$2, 12)</f>
        <v>46591</v>
      </c>
      <c r="D10" s="14" t="b">
        <v>0</v>
      </c>
      <c r="E10" s="18"/>
      <c r="F10" s="14" t="s">
        <v>577</v>
      </c>
      <c r="G10" s="18"/>
      <c r="H10" s="18"/>
      <c r="I10" s="14" t="b">
        <v>0</v>
      </c>
      <c r="J10" s="18"/>
    </row>
    <row r="11">
      <c r="A11" s="14" t="s">
        <v>354</v>
      </c>
      <c r="B11" s="14" t="s">
        <v>579</v>
      </c>
      <c r="C11" s="19">
        <f>EDATE($B$2, 18)</f>
        <v>46775</v>
      </c>
      <c r="D11" s="14" t="b">
        <v>0</v>
      </c>
      <c r="E11" s="18"/>
      <c r="F11" s="14" t="s">
        <v>580</v>
      </c>
      <c r="G11" s="18"/>
      <c r="H11" s="18"/>
      <c r="I11" s="14" t="b">
        <v>0</v>
      </c>
      <c r="J11" s="18"/>
    </row>
    <row r="12">
      <c r="A12" s="14" t="s">
        <v>361</v>
      </c>
      <c r="B12" s="14" t="s">
        <v>581</v>
      </c>
      <c r="C12" s="19">
        <f>EDATE($B$2, 60)</f>
        <v>48052</v>
      </c>
      <c r="D12" s="14" t="b">
        <v>0</v>
      </c>
      <c r="E12" s="18"/>
      <c r="F12" s="14" t="s">
        <v>582</v>
      </c>
      <c r="G12" s="18"/>
      <c r="H12" s="18"/>
      <c r="I12" s="14" t="b">
        <v>0</v>
      </c>
      <c r="J12" s="1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25"/>
    <col customWidth="1" min="2" max="2" width="66.88"/>
    <col customWidth="1" min="3" max="3" width="23.88"/>
    <col customWidth="1" min="4" max="4" width="24.75"/>
    <col customWidth="1" min="5" max="5" width="24.5"/>
    <col customWidth="1" min="6" max="6" width="28.0"/>
  </cols>
  <sheetData>
    <row r="1">
      <c r="A1" s="9" t="s">
        <v>461</v>
      </c>
    </row>
    <row r="3">
      <c r="A3" s="13" t="s">
        <v>463</v>
      </c>
      <c r="B3" s="13" t="s">
        <v>464</v>
      </c>
      <c r="C3" s="13" t="s">
        <v>7</v>
      </c>
      <c r="D3" s="13" t="s">
        <v>11</v>
      </c>
      <c r="E3" s="13" t="s">
        <v>14</v>
      </c>
      <c r="F3" s="13" t="s">
        <v>18</v>
      </c>
    </row>
    <row r="4">
      <c r="A4" s="14" t="s">
        <v>467</v>
      </c>
      <c r="B4" s="14" t="s">
        <v>468</v>
      </c>
      <c r="C4" s="17">
        <v>930000.0</v>
      </c>
      <c r="D4" s="17">
        <v>1025000.0</v>
      </c>
      <c r="E4" s="17">
        <v>1120000.0</v>
      </c>
      <c r="F4" s="17">
        <v>1165000.0</v>
      </c>
    </row>
    <row r="5">
      <c r="A5" s="14" t="s">
        <v>470</v>
      </c>
      <c r="B5" s="14" t="s">
        <v>473</v>
      </c>
      <c r="C5" s="17">
        <v>930000.0</v>
      </c>
      <c r="D5" s="17">
        <v>1025000.0</v>
      </c>
      <c r="E5" s="17">
        <v>1120000.0</v>
      </c>
      <c r="F5" s="17">
        <v>1165000.0</v>
      </c>
    </row>
    <row r="6">
      <c r="A6" s="14" t="s">
        <v>475</v>
      </c>
      <c r="B6" s="14" t="s">
        <v>477</v>
      </c>
      <c r="C6" s="17">
        <v>370000.0</v>
      </c>
      <c r="D6" s="17">
        <v>415000.0</v>
      </c>
      <c r="E6" s="17">
        <v>460000.0</v>
      </c>
      <c r="F6" s="17">
        <v>485000.0</v>
      </c>
    </row>
    <row r="7">
      <c r="A7" s="14" t="s">
        <v>478</v>
      </c>
      <c r="B7" s="14" t="s">
        <v>479</v>
      </c>
      <c r="C7" s="17">
        <v>0.0</v>
      </c>
      <c r="D7" s="17">
        <v>0.0</v>
      </c>
      <c r="E7" s="17">
        <v>0.0</v>
      </c>
      <c r="F7" s="17">
        <v>0.0</v>
      </c>
    </row>
    <row r="8">
      <c r="A8" s="14" t="s">
        <v>480</v>
      </c>
      <c r="B8" s="14" t="s">
        <v>481</v>
      </c>
      <c r="C8" s="17">
        <v>190000.0</v>
      </c>
      <c r="D8" s="17">
        <v>215000.0</v>
      </c>
      <c r="E8" s="17">
        <v>245000.0</v>
      </c>
      <c r="F8" s="17">
        <v>265000.0</v>
      </c>
    </row>
    <row r="9">
      <c r="A9" s="14" t="s">
        <v>484</v>
      </c>
      <c r="B9" s="14" t="s">
        <v>485</v>
      </c>
      <c r="C9" s="17">
        <v>200000.0</v>
      </c>
      <c r="D9" s="17">
        <v>230000.0</v>
      </c>
      <c r="E9" s="17">
        <v>260000.0</v>
      </c>
      <c r="F9" s="17">
        <v>285000.0</v>
      </c>
    </row>
    <row r="10">
      <c r="A10" s="14" t="s">
        <v>489</v>
      </c>
      <c r="B10" s="14" t="s">
        <v>491</v>
      </c>
      <c r="C10" s="17">
        <v>90000.0</v>
      </c>
      <c r="D10" s="17">
        <v>105000.0</v>
      </c>
      <c r="E10" s="17">
        <v>118000.0</v>
      </c>
      <c r="F10" s="17">
        <v>125000.0</v>
      </c>
    </row>
    <row r="11">
      <c r="C11" s="20"/>
      <c r="D11" s="20"/>
      <c r="E11" s="20"/>
      <c r="F11" s="20"/>
    </row>
    <row r="12">
      <c r="A12" s="21" t="s">
        <v>506</v>
      </c>
      <c r="B12" s="22"/>
      <c r="C12" s="23">
        <f t="shared" ref="C12:F12" si="1">SUM(C4:C8)</f>
        <v>2420000</v>
      </c>
      <c r="D12" s="23">
        <f t="shared" si="1"/>
        <v>2680000</v>
      </c>
      <c r="E12" s="23">
        <f t="shared" si="1"/>
        <v>2945000</v>
      </c>
      <c r="F12" s="23">
        <f t="shared" si="1"/>
        <v>3080000</v>
      </c>
    </row>
    <row r="13">
      <c r="A13" s="21" t="s">
        <v>575</v>
      </c>
      <c r="B13" s="22"/>
      <c r="C13" s="23">
        <f t="shared" ref="C13:F13" si="2">SUM(C9:C10)</f>
        <v>290000</v>
      </c>
      <c r="D13" s="23">
        <f t="shared" si="2"/>
        <v>335000</v>
      </c>
      <c r="E13" s="23">
        <f t="shared" si="2"/>
        <v>378000</v>
      </c>
      <c r="F13" s="23">
        <f t="shared" si="2"/>
        <v>410000</v>
      </c>
    </row>
    <row r="14">
      <c r="A14" s="21" t="s">
        <v>578</v>
      </c>
      <c r="B14" s="22"/>
      <c r="C14" s="23">
        <f t="shared" ref="C14:F14" si="3">SUM(C12:C13)</f>
        <v>2710000</v>
      </c>
      <c r="D14" s="23">
        <f t="shared" si="3"/>
        <v>3015000</v>
      </c>
      <c r="E14" s="23">
        <f t="shared" si="3"/>
        <v>3323000</v>
      </c>
      <c r="F14" s="23">
        <f t="shared" si="3"/>
        <v>3490000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8"/>
    <col customWidth="1" min="2" max="2" width="39.63"/>
    <col customWidth="1" min="3" max="3" width="67.0"/>
    <col customWidth="1" min="4" max="4" width="55.75"/>
    <col customWidth="1" min="5" max="5" width="32.38"/>
  </cols>
  <sheetData>
    <row r="1">
      <c r="A1" s="9" t="s">
        <v>483</v>
      </c>
    </row>
    <row r="3">
      <c r="A3" s="9" t="s">
        <v>486</v>
      </c>
    </row>
    <row r="4">
      <c r="A4" s="13" t="s">
        <v>487</v>
      </c>
      <c r="B4" s="13" t="s">
        <v>490</v>
      </c>
      <c r="C4" s="13" t="s">
        <v>492</v>
      </c>
      <c r="D4" s="13" t="s">
        <v>493</v>
      </c>
      <c r="E4" s="13" t="s">
        <v>494</v>
      </c>
    </row>
    <row r="5">
      <c r="A5" s="14" t="s">
        <v>495</v>
      </c>
      <c r="B5" s="14" t="s">
        <v>496</v>
      </c>
      <c r="C5" s="14" t="s">
        <v>497</v>
      </c>
      <c r="D5" s="14" t="s">
        <v>498</v>
      </c>
      <c r="E5" s="14" t="s">
        <v>499</v>
      </c>
    </row>
    <row r="6">
      <c r="A6" s="14" t="s">
        <v>500</v>
      </c>
      <c r="B6" s="14" t="s">
        <v>502</v>
      </c>
      <c r="C6" s="14" t="s">
        <v>504</v>
      </c>
      <c r="D6" s="14" t="s">
        <v>508</v>
      </c>
      <c r="E6" s="14" t="s">
        <v>510</v>
      </c>
    </row>
    <row r="7">
      <c r="A7" s="14" t="s">
        <v>512</v>
      </c>
      <c r="B7" s="14" t="s">
        <v>514</v>
      </c>
      <c r="C7" s="14" t="s">
        <v>516</v>
      </c>
      <c r="D7" s="14" t="s">
        <v>519</v>
      </c>
      <c r="E7" s="14" t="s">
        <v>520</v>
      </c>
    </row>
    <row r="8">
      <c r="A8" s="14" t="s">
        <v>522</v>
      </c>
      <c r="B8" s="14" t="s">
        <v>524</v>
      </c>
      <c r="C8" s="14" t="s">
        <v>527</v>
      </c>
      <c r="D8" s="14" t="s">
        <v>528</v>
      </c>
      <c r="E8" s="14" t="s">
        <v>531</v>
      </c>
    </row>
    <row r="10">
      <c r="A10" s="9" t="s">
        <v>535</v>
      </c>
    </row>
    <row r="11">
      <c r="A11" s="13" t="s">
        <v>538</v>
      </c>
      <c r="B11" s="13" t="s">
        <v>540</v>
      </c>
      <c r="C11" s="13" t="s">
        <v>542</v>
      </c>
      <c r="D11" s="13" t="s">
        <v>544</v>
      </c>
    </row>
    <row r="12">
      <c r="A12" s="14" t="s">
        <v>547</v>
      </c>
      <c r="B12" s="14" t="s">
        <v>549</v>
      </c>
      <c r="C12" s="14" t="s">
        <v>550</v>
      </c>
      <c r="D12" s="14" t="s">
        <v>551</v>
      </c>
    </row>
    <row r="13">
      <c r="A13" s="14" t="s">
        <v>552</v>
      </c>
      <c r="B13" s="14" t="s">
        <v>553</v>
      </c>
      <c r="C13" s="14" t="s">
        <v>554</v>
      </c>
      <c r="D13" s="14" t="s">
        <v>555</v>
      </c>
    </row>
    <row r="14">
      <c r="A14" s="14" t="s">
        <v>556</v>
      </c>
      <c r="B14" s="14" t="s">
        <v>557</v>
      </c>
      <c r="C14" s="14" t="s">
        <v>558</v>
      </c>
      <c r="D14" s="14" t="s">
        <v>559</v>
      </c>
    </row>
    <row r="15">
      <c r="A15" s="14" t="s">
        <v>561</v>
      </c>
      <c r="B15" s="14" t="s">
        <v>562</v>
      </c>
      <c r="C15" s="14" t="s">
        <v>563</v>
      </c>
      <c r="D15" s="14" t="s">
        <v>564</v>
      </c>
    </row>
    <row r="16">
      <c r="A16" s="14" t="s">
        <v>565</v>
      </c>
      <c r="B16" s="14" t="s">
        <v>566</v>
      </c>
      <c r="C16" s="14" t="s">
        <v>568</v>
      </c>
      <c r="D16" s="14" t="s">
        <v>569</v>
      </c>
    </row>
    <row r="17">
      <c r="A17" s="14" t="s">
        <v>570</v>
      </c>
      <c r="B17" s="14" t="s">
        <v>571</v>
      </c>
      <c r="C17" s="14" t="s">
        <v>572</v>
      </c>
      <c r="D17" s="14" t="s">
        <v>573</v>
      </c>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5"/>
    <col customWidth="1" min="2" max="2" width="43.38"/>
    <col customWidth="1" min="3" max="3" width="54.63"/>
    <col customWidth="1" min="4" max="4" width="80.38"/>
  </cols>
  <sheetData>
    <row r="1">
      <c r="A1" s="9" t="s">
        <v>583</v>
      </c>
    </row>
    <row r="3">
      <c r="A3" s="13" t="s">
        <v>584</v>
      </c>
      <c r="B3" s="13" t="s">
        <v>585</v>
      </c>
      <c r="C3" s="13" t="s">
        <v>586</v>
      </c>
      <c r="D3" s="13" t="s">
        <v>587</v>
      </c>
    </row>
    <row r="4">
      <c r="A4" s="14" t="s">
        <v>588</v>
      </c>
      <c r="B4" s="14" t="s">
        <v>589</v>
      </c>
      <c r="C4" s="14" t="s">
        <v>590</v>
      </c>
      <c r="D4" s="14" t="s">
        <v>591</v>
      </c>
    </row>
    <row r="5">
      <c r="A5" s="14" t="s">
        <v>592</v>
      </c>
      <c r="B5" s="14" t="s">
        <v>593</v>
      </c>
      <c r="C5" s="14" t="s">
        <v>594</v>
      </c>
      <c r="D5" s="14" t="s">
        <v>595</v>
      </c>
    </row>
    <row r="6">
      <c r="A6" s="14" t="s">
        <v>596</v>
      </c>
      <c r="B6" s="14" t="s">
        <v>597</v>
      </c>
      <c r="C6" s="14" t="s">
        <v>598</v>
      </c>
      <c r="D6" s="14" t="s">
        <v>599</v>
      </c>
    </row>
    <row r="7">
      <c r="A7" s="14" t="s">
        <v>600</v>
      </c>
      <c r="B7" s="14" t="s">
        <v>601</v>
      </c>
      <c r="C7" s="14" t="s">
        <v>602</v>
      </c>
      <c r="D7" s="14" t="s">
        <v>603</v>
      </c>
    </row>
    <row r="8">
      <c r="A8" s="14" t="s">
        <v>604</v>
      </c>
      <c r="B8" s="14" t="s">
        <v>605</v>
      </c>
      <c r="C8" s="14" t="s">
        <v>606</v>
      </c>
      <c r="D8" s="14" t="s">
        <v>607</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38"/>
    <col customWidth="1" min="2" max="2" width="32.75"/>
    <col customWidth="1" min="3" max="3" width="19.0"/>
    <col customWidth="1" min="4" max="4" width="105.25"/>
    <col customWidth="1" min="5" max="5" width="32.63"/>
    <col customWidth="1" min="6" max="6" width="65.5"/>
  </cols>
  <sheetData>
    <row r="1">
      <c r="A1" s="9" t="s">
        <v>608</v>
      </c>
    </row>
    <row r="3">
      <c r="A3" s="13" t="s">
        <v>609</v>
      </c>
      <c r="B3" s="13" t="s">
        <v>610</v>
      </c>
      <c r="C3" s="13" t="s">
        <v>611</v>
      </c>
      <c r="D3" s="13" t="s">
        <v>612</v>
      </c>
      <c r="E3" s="13" t="s">
        <v>613</v>
      </c>
      <c r="F3" s="13" t="s">
        <v>614</v>
      </c>
    </row>
    <row r="4">
      <c r="A4" s="14" t="s">
        <v>26</v>
      </c>
      <c r="B4" s="14" t="s">
        <v>615</v>
      </c>
      <c r="C4" s="14" t="s">
        <v>616</v>
      </c>
      <c r="D4" s="14" t="s">
        <v>617</v>
      </c>
      <c r="E4" s="14" t="s">
        <v>618</v>
      </c>
      <c r="F4" s="14" t="s">
        <v>619</v>
      </c>
    </row>
    <row r="5">
      <c r="A5" s="14" t="s">
        <v>620</v>
      </c>
      <c r="B5" s="14" t="s">
        <v>621</v>
      </c>
      <c r="C5" s="14" t="s">
        <v>622</v>
      </c>
      <c r="D5" s="14" t="s">
        <v>623</v>
      </c>
      <c r="E5" s="14" t="s">
        <v>624</v>
      </c>
      <c r="F5" s="14" t="s">
        <v>625</v>
      </c>
    </row>
    <row r="6">
      <c r="A6" s="14" t="s">
        <v>193</v>
      </c>
      <c r="B6" s="14" t="s">
        <v>195</v>
      </c>
      <c r="C6" s="14" t="s">
        <v>626</v>
      </c>
      <c r="D6" s="14" t="s">
        <v>627</v>
      </c>
      <c r="E6" s="14" t="s">
        <v>628</v>
      </c>
      <c r="F6" s="14" t="s">
        <v>629</v>
      </c>
    </row>
    <row r="7">
      <c r="A7" s="14" t="s">
        <v>630</v>
      </c>
      <c r="B7" s="14" t="s">
        <v>631</v>
      </c>
      <c r="C7" s="14" t="s">
        <v>632</v>
      </c>
      <c r="D7" s="14" t="s">
        <v>633</v>
      </c>
      <c r="E7" s="14" t="s">
        <v>634</v>
      </c>
      <c r="F7" s="14" t="s">
        <v>635</v>
      </c>
    </row>
    <row r="8">
      <c r="A8" s="14" t="s">
        <v>89</v>
      </c>
      <c r="B8" s="14" t="s">
        <v>636</v>
      </c>
      <c r="C8" s="14" t="s">
        <v>637</v>
      </c>
      <c r="D8" s="14" t="s">
        <v>638</v>
      </c>
      <c r="E8" s="14" t="s">
        <v>639</v>
      </c>
      <c r="F8" s="14" t="s">
        <v>640</v>
      </c>
    </row>
    <row r="9">
      <c r="A9" s="14" t="s">
        <v>641</v>
      </c>
      <c r="B9" s="14" t="s">
        <v>642</v>
      </c>
      <c r="C9" s="14" t="s">
        <v>643</v>
      </c>
      <c r="D9" s="14" t="s">
        <v>644</v>
      </c>
      <c r="E9" s="14" t="s">
        <v>645</v>
      </c>
      <c r="F9" s="14" t="s">
        <v>646</v>
      </c>
    </row>
  </sheetData>
  <drawing r:id="rId1"/>
  <tableParts count="1">
    <tablePart r:id="rId3"/>
  </tableParts>
</worksheet>
</file>